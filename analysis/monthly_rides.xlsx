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/>
  <mc:AlternateContent xmlns:mc="http://schemas.openxmlformats.org/markup-compatibility/2006">
    <mc:Choice Requires="x15">
      <x15ac:absPath xmlns:x15ac="http://schemas.microsoft.com/office/spreadsheetml/2010/11/ac" url="https://d.docs.live.net/ba91e47c7d0c2306/Desktop/Cyclistic/analysis/"/>
    </mc:Choice>
  </mc:AlternateContent>
  <xr:revisionPtr revIDLastSave="41" documentId="11_F25DC773A252ABDACC1048BA79DC636E5BDE58E4" xr6:coauthVersionLast="47" xr6:coauthVersionMax="47" xr10:uidLastSave="{0B050836-101D-4FED-8E53-325FC6605448}"/>
  <bookViews>
    <workbookView xWindow="3490" yWindow="1330" windowWidth="8930" windowHeight="19460" firstSheet="1" activeTab="1" xr2:uid="{00000000-000D-0000-FFFF-FFFF00000000}"/>
  </bookViews>
  <sheets>
    <sheet name="data" sheetId="1" r:id="rId1"/>
    <sheet name="summary&amp;visual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5" i="2" l="1"/>
  <c r="C24" i="2"/>
  <c r="C23" i="2"/>
  <c r="C22" i="2"/>
  <c r="C21" i="2"/>
  <c r="C20" i="2"/>
  <c r="C19" i="2"/>
  <c r="C18" i="2"/>
  <c r="C17" i="2"/>
  <c r="C16" i="2"/>
  <c r="C15" i="2"/>
  <c r="C14" i="2"/>
  <c r="C13" i="2"/>
  <c r="C12" i="2"/>
  <c r="C11" i="2"/>
  <c r="C10" i="2"/>
  <c r="C9" i="2"/>
  <c r="C8" i="2"/>
  <c r="C7" i="2"/>
  <c r="C6" i="2"/>
  <c r="C5" i="2"/>
  <c r="C4" i="2"/>
  <c r="C3" i="2"/>
  <c r="C2" i="2"/>
  <c r="D61" i="1"/>
  <c r="D56" i="1"/>
  <c r="D51" i="1"/>
  <c r="D46" i="1"/>
  <c r="D41" i="1"/>
  <c r="D36" i="1"/>
  <c r="D31" i="1"/>
  <c r="D26" i="1"/>
  <c r="D21" i="1"/>
  <c r="D16" i="1"/>
  <c r="D11" i="1"/>
</calcChain>
</file>

<file path=xl/sharedStrings.xml><?xml version="1.0" encoding="utf-8"?>
<sst xmlns="http://schemas.openxmlformats.org/spreadsheetml/2006/main" count="139" uniqueCount="11">
  <si>
    <t>Month</t>
  </si>
  <si>
    <t>User</t>
  </si>
  <si>
    <t>Bike</t>
  </si>
  <si>
    <t>Rides</t>
  </si>
  <si>
    <t>casual</t>
  </si>
  <si>
    <t>classic</t>
  </si>
  <si>
    <t>electric</t>
  </si>
  <si>
    <t>member</t>
  </si>
  <si>
    <t>total</t>
  </si>
  <si>
    <t>Group</t>
  </si>
  <si>
    <t>Total Rides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</si>
</sst>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"/>
    <numFmt numFmtId="165" formatCode="yyyy\-m"/>
  </numFmts>
  <fonts count="4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4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FE2F3"/>
        <bgColor rgb="FFCFE2F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Alignment="1">
      <alignment horizontal="center"/>
    </xf>
    <xf numFmtId="164" fontId="2" fillId="0" borderId="0" xfId="0" applyNumberFormat="1" applyFont="1" applyAlignment="1">
      <alignment horizontal="center"/>
    </xf>
    <xf numFmtId="0" fontId="2" fillId="0" borderId="0" xfId="0" applyFont="1"/>
    <xf numFmtId="3" fontId="2" fillId="0" borderId="0" xfId="0" applyNumberFormat="1" applyFont="1" applyAlignment="1">
      <alignment horizontal="center"/>
    </xf>
    <xf numFmtId="164" fontId="1" fillId="2" borderId="0" xfId="0" applyNumberFormat="1" applyFont="1" applyFill="1" applyAlignment="1">
      <alignment horizontal="center"/>
    </xf>
    <xf numFmtId="0" fontId="1" fillId="2" borderId="0" xfId="0" applyFont="1" applyFill="1"/>
    <xf numFmtId="3" fontId="1" fillId="2" borderId="0" xfId="0" applyNumberFormat="1" applyFont="1" applyFill="1" applyAlignment="1">
      <alignment horizontal="center"/>
    </xf>
    <xf numFmtId="165" fontId="2" fillId="0" borderId="0" xfId="0" applyNumberFormat="1" applyFont="1" applyAlignment="1">
      <alignment horizontal="center"/>
    </xf>
    <xf numFmtId="3" fontId="3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61"/>
  <sheetViews>
    <sheetView workbookViewId="0">
      <selection activeCell="G13" sqref="G13"/>
    </sheetView>
  </sheetViews>
  <sheetFormatPr defaultRowHeight="14.5" x14ac:dyDescent="0.35"/>
  <cols>
    <col min="1" max="1" width="9.453125" bestFit="1" customWidth="1"/>
    <col min="4" max="4" width="9.26953125" bestFit="1" customWidth="1"/>
  </cols>
  <sheetData>
    <row r="1" spans="1:4" ht="18.5" x14ac:dyDescent="0.45">
      <c r="A1" s="1" t="s">
        <v>0</v>
      </c>
      <c r="B1" s="1" t="s">
        <v>1</v>
      </c>
      <c r="C1" s="1" t="s">
        <v>2</v>
      </c>
      <c r="D1" s="1" t="s">
        <v>3</v>
      </c>
    </row>
    <row r="2" spans="1:4" ht="18.5" x14ac:dyDescent="0.45">
      <c r="A2" s="2">
        <v>45870</v>
      </c>
      <c r="B2" s="3" t="s">
        <v>4</v>
      </c>
      <c r="C2" s="3" t="s">
        <v>5</v>
      </c>
      <c r="D2" s="4">
        <v>118087</v>
      </c>
    </row>
    <row r="3" spans="1:4" ht="18.5" x14ac:dyDescent="0.45">
      <c r="A3" s="2">
        <v>45870</v>
      </c>
      <c r="B3" s="3" t="s">
        <v>4</v>
      </c>
      <c r="C3" s="3" t="s">
        <v>6</v>
      </c>
      <c r="D3" s="4">
        <v>219651</v>
      </c>
    </row>
    <row r="4" spans="1:4" ht="18.5" x14ac:dyDescent="0.45">
      <c r="A4" s="2">
        <v>45870</v>
      </c>
      <c r="B4" s="3" t="s">
        <v>7</v>
      </c>
      <c r="C4" s="3" t="s">
        <v>5</v>
      </c>
      <c r="D4" s="4">
        <v>162894</v>
      </c>
    </row>
    <row r="5" spans="1:4" ht="18.5" x14ac:dyDescent="0.45">
      <c r="A5" s="2">
        <v>45870</v>
      </c>
      <c r="B5" s="3" t="s">
        <v>7</v>
      </c>
      <c r="C5" s="3" t="s">
        <v>6</v>
      </c>
      <c r="D5" s="4">
        <v>289545</v>
      </c>
    </row>
    <row r="6" spans="1:4" ht="18.5" x14ac:dyDescent="0.45">
      <c r="A6" s="5">
        <v>45870</v>
      </c>
      <c r="B6" s="6" t="s">
        <v>8</v>
      </c>
      <c r="C6" s="6"/>
      <c r="D6" s="7">
        <v>790177</v>
      </c>
    </row>
    <row r="7" spans="1:4" ht="18.5" x14ac:dyDescent="0.45">
      <c r="A7" s="2">
        <v>45901</v>
      </c>
      <c r="B7" s="3" t="s">
        <v>4</v>
      </c>
      <c r="C7" s="3" t="s">
        <v>5</v>
      </c>
      <c r="D7" s="4">
        <v>81295</v>
      </c>
    </row>
    <row r="8" spans="1:4" ht="18.5" x14ac:dyDescent="0.45">
      <c r="A8" s="2">
        <v>45901</v>
      </c>
      <c r="B8" s="3" t="s">
        <v>4</v>
      </c>
      <c r="C8" s="3" t="s">
        <v>6</v>
      </c>
      <c r="D8" s="4">
        <v>184166</v>
      </c>
    </row>
    <row r="9" spans="1:4" ht="18.5" x14ac:dyDescent="0.45">
      <c r="A9" s="2">
        <v>45901</v>
      </c>
      <c r="B9" s="3" t="s">
        <v>7</v>
      </c>
      <c r="C9" s="3" t="s">
        <v>5</v>
      </c>
      <c r="D9" s="4">
        <v>158034</v>
      </c>
    </row>
    <row r="10" spans="1:4" ht="18.5" x14ac:dyDescent="0.45">
      <c r="A10" s="2">
        <v>45901</v>
      </c>
      <c r="B10" s="3" t="s">
        <v>7</v>
      </c>
      <c r="C10" s="3" t="s">
        <v>6</v>
      </c>
      <c r="D10" s="4">
        <v>291264</v>
      </c>
    </row>
    <row r="11" spans="1:4" ht="18.5" x14ac:dyDescent="0.45">
      <c r="A11" s="5">
        <v>45901</v>
      </c>
      <c r="B11" s="6" t="s">
        <v>8</v>
      </c>
      <c r="C11" s="6"/>
      <c r="D11" s="7">
        <f>SUM(D7:D10)</f>
        <v>714759</v>
      </c>
    </row>
    <row r="12" spans="1:4" ht="18.5" x14ac:dyDescent="0.45">
      <c r="A12" s="8">
        <v>45931</v>
      </c>
      <c r="B12" s="3" t="s">
        <v>4</v>
      </c>
      <c r="C12" s="3" t="s">
        <v>5</v>
      </c>
      <c r="D12" s="4">
        <v>66625</v>
      </c>
    </row>
    <row r="13" spans="1:4" ht="18.5" x14ac:dyDescent="0.45">
      <c r="A13" s="8">
        <v>45931</v>
      </c>
      <c r="B13" s="3" t="s">
        <v>4</v>
      </c>
      <c r="C13" s="3" t="s">
        <v>6</v>
      </c>
      <c r="D13" s="4">
        <v>157385</v>
      </c>
    </row>
    <row r="14" spans="1:4" ht="18.5" x14ac:dyDescent="0.45">
      <c r="A14" s="8">
        <v>45931</v>
      </c>
      <c r="B14" s="3" t="s">
        <v>7</v>
      </c>
      <c r="C14" s="3" t="s">
        <v>5</v>
      </c>
      <c r="D14" s="4">
        <v>143303</v>
      </c>
    </row>
    <row r="15" spans="1:4" ht="18.5" x14ac:dyDescent="0.45">
      <c r="A15" s="8">
        <v>45931</v>
      </c>
      <c r="B15" s="3" t="s">
        <v>7</v>
      </c>
      <c r="C15" s="3" t="s">
        <v>6</v>
      </c>
      <c r="D15" s="4">
        <v>278726</v>
      </c>
    </row>
    <row r="16" spans="1:4" ht="18.5" x14ac:dyDescent="0.45">
      <c r="A16" s="5">
        <v>45931</v>
      </c>
      <c r="B16" s="6" t="s">
        <v>8</v>
      </c>
      <c r="C16" s="6"/>
      <c r="D16" s="7">
        <f>SUM(D12:D15)</f>
        <v>646039</v>
      </c>
    </row>
    <row r="17" spans="1:4" ht="18.5" x14ac:dyDescent="0.45">
      <c r="A17" s="8">
        <v>45962</v>
      </c>
      <c r="B17" s="3" t="s">
        <v>4</v>
      </c>
      <c r="C17" s="3" t="s">
        <v>5</v>
      </c>
      <c r="D17" s="4">
        <v>27304</v>
      </c>
    </row>
    <row r="18" spans="1:4" ht="18.5" x14ac:dyDescent="0.45">
      <c r="A18" s="8">
        <v>45962</v>
      </c>
      <c r="B18" s="3" t="s">
        <v>4</v>
      </c>
      <c r="C18" s="3" t="s">
        <v>6</v>
      </c>
      <c r="D18" s="4">
        <v>71836</v>
      </c>
    </row>
    <row r="19" spans="1:4" ht="18.5" x14ac:dyDescent="0.45">
      <c r="A19" s="8">
        <v>45962</v>
      </c>
      <c r="B19" s="3" t="s">
        <v>7</v>
      </c>
      <c r="C19" s="3" t="s">
        <v>5</v>
      </c>
      <c r="D19" s="4">
        <v>88146</v>
      </c>
    </row>
    <row r="20" spans="1:4" ht="18.5" x14ac:dyDescent="0.45">
      <c r="A20" s="8">
        <v>45962</v>
      </c>
      <c r="B20" s="3" t="s">
        <v>7</v>
      </c>
      <c r="C20" s="3" t="s">
        <v>6</v>
      </c>
      <c r="D20" s="4">
        <v>169313</v>
      </c>
    </row>
    <row r="21" spans="1:4" ht="18.5" x14ac:dyDescent="0.45">
      <c r="A21" s="5">
        <v>45962</v>
      </c>
      <c r="B21" s="6" t="s">
        <v>8</v>
      </c>
      <c r="C21" s="6"/>
      <c r="D21" s="7">
        <f>SUM(D17:D20)</f>
        <v>356599</v>
      </c>
    </row>
    <row r="22" spans="1:4" ht="18.5" x14ac:dyDescent="0.45">
      <c r="A22" s="8">
        <v>45992</v>
      </c>
      <c r="B22" s="3" t="s">
        <v>4</v>
      </c>
      <c r="C22" s="3" t="s">
        <v>5</v>
      </c>
      <c r="D22" s="4">
        <v>7037</v>
      </c>
    </row>
    <row r="23" spans="1:4" ht="18.5" x14ac:dyDescent="0.45">
      <c r="A23" s="8">
        <v>45992</v>
      </c>
      <c r="B23" s="3" t="s">
        <v>4</v>
      </c>
      <c r="C23" s="3" t="s">
        <v>6</v>
      </c>
      <c r="D23" s="4">
        <v>21043</v>
      </c>
    </row>
    <row r="24" spans="1:4" ht="18.5" x14ac:dyDescent="0.45">
      <c r="A24" s="8">
        <v>45992</v>
      </c>
      <c r="B24" s="3" t="s">
        <v>7</v>
      </c>
      <c r="C24" s="3" t="s">
        <v>5</v>
      </c>
      <c r="D24" s="4">
        <v>37823</v>
      </c>
    </row>
    <row r="25" spans="1:4" ht="18.5" x14ac:dyDescent="0.45">
      <c r="A25" s="8">
        <v>45992</v>
      </c>
      <c r="B25" s="3" t="s">
        <v>7</v>
      </c>
      <c r="C25" s="3" t="s">
        <v>6</v>
      </c>
      <c r="D25" s="4">
        <v>74631</v>
      </c>
    </row>
    <row r="26" spans="1:4" ht="18.5" x14ac:dyDescent="0.45">
      <c r="A26" s="5">
        <v>45992</v>
      </c>
      <c r="B26" s="6" t="s">
        <v>8</v>
      </c>
      <c r="C26" s="6"/>
      <c r="D26" s="7">
        <f>SUM(D22:D25)</f>
        <v>140534</v>
      </c>
    </row>
    <row r="27" spans="1:4" ht="18.5" x14ac:dyDescent="0.45">
      <c r="A27" s="2">
        <v>46023</v>
      </c>
      <c r="B27" s="3" t="s">
        <v>4</v>
      </c>
      <c r="C27" s="3" t="s">
        <v>5</v>
      </c>
      <c r="D27" s="4">
        <v>5908</v>
      </c>
    </row>
    <row r="28" spans="1:4" ht="18.5" x14ac:dyDescent="0.45">
      <c r="A28" s="2">
        <v>46023</v>
      </c>
      <c r="B28" s="3" t="s">
        <v>4</v>
      </c>
      <c r="C28" s="3" t="s">
        <v>6</v>
      </c>
      <c r="D28" s="4">
        <v>18841</v>
      </c>
    </row>
    <row r="29" spans="1:4" ht="18.5" x14ac:dyDescent="0.45">
      <c r="A29" s="2">
        <v>46023</v>
      </c>
      <c r="B29" s="3" t="s">
        <v>7</v>
      </c>
      <c r="C29" s="3" t="s">
        <v>5</v>
      </c>
      <c r="D29" s="4">
        <v>38065</v>
      </c>
    </row>
    <row r="30" spans="1:4" ht="18.5" x14ac:dyDescent="0.45">
      <c r="A30" s="2">
        <v>46023</v>
      </c>
      <c r="B30" s="3" t="s">
        <v>7</v>
      </c>
      <c r="C30" s="3" t="s">
        <v>6</v>
      </c>
      <c r="D30" s="4">
        <v>74973</v>
      </c>
    </row>
    <row r="31" spans="1:4" ht="18.5" x14ac:dyDescent="0.45">
      <c r="A31" s="5">
        <v>46023</v>
      </c>
      <c r="B31" s="6" t="s">
        <v>8</v>
      </c>
      <c r="C31" s="6"/>
      <c r="D31" s="7">
        <f>SUM(D27:D30)</f>
        <v>137787</v>
      </c>
    </row>
    <row r="32" spans="1:4" ht="18.5" x14ac:dyDescent="0.45">
      <c r="A32" s="2">
        <v>46054</v>
      </c>
      <c r="B32" s="3" t="s">
        <v>4</v>
      </c>
      <c r="C32" s="3" t="s">
        <v>5</v>
      </c>
      <c r="D32" s="4">
        <v>11619</v>
      </c>
    </row>
    <row r="33" spans="1:4" ht="18.5" x14ac:dyDescent="0.45">
      <c r="A33" s="2">
        <v>46054</v>
      </c>
      <c r="B33" s="3" t="s">
        <v>4</v>
      </c>
      <c r="C33" s="3" t="s">
        <v>6</v>
      </c>
      <c r="D33" s="4">
        <v>29554</v>
      </c>
    </row>
    <row r="34" spans="1:4" ht="18.5" x14ac:dyDescent="0.45">
      <c r="A34" s="2">
        <v>46054</v>
      </c>
      <c r="B34" s="3" t="s">
        <v>7</v>
      </c>
      <c r="C34" s="3" t="s">
        <v>5</v>
      </c>
      <c r="D34" s="4">
        <v>55271</v>
      </c>
    </row>
    <row r="35" spans="1:4" ht="18.5" x14ac:dyDescent="0.45">
      <c r="A35" s="2">
        <v>46054</v>
      </c>
      <c r="B35" s="3" t="s">
        <v>7</v>
      </c>
      <c r="C35" s="3" t="s">
        <v>6</v>
      </c>
      <c r="D35" s="4">
        <v>105006</v>
      </c>
    </row>
    <row r="36" spans="1:4" ht="18.5" x14ac:dyDescent="0.45">
      <c r="A36" s="5">
        <v>46054</v>
      </c>
      <c r="B36" s="6" t="s">
        <v>8</v>
      </c>
      <c r="C36" s="6"/>
      <c r="D36" s="7">
        <f>SUM(D32:D35)</f>
        <v>201450</v>
      </c>
    </row>
    <row r="37" spans="1:4" ht="18.5" x14ac:dyDescent="0.45">
      <c r="A37" s="2">
        <v>46082</v>
      </c>
      <c r="B37" s="3" t="s">
        <v>4</v>
      </c>
      <c r="C37" s="3" t="s">
        <v>5</v>
      </c>
      <c r="D37" s="4">
        <v>23889</v>
      </c>
    </row>
    <row r="38" spans="1:4" ht="18.5" x14ac:dyDescent="0.45">
      <c r="A38" s="2">
        <v>46082</v>
      </c>
      <c r="B38" s="3" t="s">
        <v>4</v>
      </c>
      <c r="C38" s="3" t="s">
        <v>6</v>
      </c>
      <c r="D38" s="4">
        <v>63967</v>
      </c>
    </row>
    <row r="39" spans="1:4" ht="18.5" x14ac:dyDescent="0.45">
      <c r="A39" s="2">
        <v>46082</v>
      </c>
      <c r="B39" s="3" t="s">
        <v>7</v>
      </c>
      <c r="C39" s="3" t="s">
        <v>5</v>
      </c>
      <c r="D39" s="4">
        <v>72213</v>
      </c>
    </row>
    <row r="40" spans="1:4" ht="18.5" x14ac:dyDescent="0.45">
      <c r="A40" s="2">
        <v>46082</v>
      </c>
      <c r="B40" s="3" t="s">
        <v>7</v>
      </c>
      <c r="C40" s="3" t="s">
        <v>6</v>
      </c>
      <c r="D40" s="4">
        <v>156968</v>
      </c>
    </row>
    <row r="41" spans="1:4" ht="18.5" x14ac:dyDescent="0.45">
      <c r="A41" s="5">
        <v>46082</v>
      </c>
      <c r="B41" s="6" t="s">
        <v>8</v>
      </c>
      <c r="C41" s="6"/>
      <c r="D41" s="7">
        <f>SUM(D37:D40)</f>
        <v>317037</v>
      </c>
    </row>
    <row r="42" spans="1:4" ht="18.5" x14ac:dyDescent="0.45">
      <c r="A42" s="2">
        <v>46113</v>
      </c>
      <c r="B42" s="3" t="s">
        <v>4</v>
      </c>
      <c r="C42" s="3" t="s">
        <v>5</v>
      </c>
      <c r="D42" s="4">
        <v>34015</v>
      </c>
    </row>
    <row r="43" spans="1:4" ht="18.5" x14ac:dyDescent="0.45">
      <c r="A43" s="2">
        <v>46113</v>
      </c>
      <c r="B43" s="3" t="s">
        <v>4</v>
      </c>
      <c r="C43" s="3" t="s">
        <v>6</v>
      </c>
      <c r="D43" s="4">
        <v>97499</v>
      </c>
    </row>
    <row r="44" spans="1:4" ht="18.5" x14ac:dyDescent="0.45">
      <c r="A44" s="2">
        <v>46113</v>
      </c>
      <c r="B44" s="3" t="s">
        <v>7</v>
      </c>
      <c r="C44" s="3" t="s">
        <v>5</v>
      </c>
      <c r="D44" s="4">
        <v>99323</v>
      </c>
    </row>
    <row r="45" spans="1:4" ht="18.5" x14ac:dyDescent="0.45">
      <c r="A45" s="2">
        <v>46113</v>
      </c>
      <c r="B45" s="3" t="s">
        <v>7</v>
      </c>
      <c r="C45" s="3" t="s">
        <v>6</v>
      </c>
      <c r="D45" s="4">
        <v>217415</v>
      </c>
    </row>
    <row r="46" spans="1:4" ht="18.5" x14ac:dyDescent="0.45">
      <c r="A46" s="5">
        <v>46113</v>
      </c>
      <c r="B46" s="6" t="s">
        <v>8</v>
      </c>
      <c r="C46" s="6"/>
      <c r="D46" s="7">
        <f>SUM(D42:D45)</f>
        <v>448252</v>
      </c>
    </row>
    <row r="47" spans="1:4" ht="18.5" x14ac:dyDescent="0.45">
      <c r="A47" s="2">
        <v>46143</v>
      </c>
      <c r="B47" s="3" t="s">
        <v>4</v>
      </c>
      <c r="C47" s="3" t="s">
        <v>5</v>
      </c>
      <c r="D47" s="4">
        <v>66392</v>
      </c>
    </row>
    <row r="48" spans="1:4" ht="18.5" x14ac:dyDescent="0.45">
      <c r="A48" s="2">
        <v>46143</v>
      </c>
      <c r="B48" s="3" t="s">
        <v>4</v>
      </c>
      <c r="C48" s="3" t="s">
        <v>6</v>
      </c>
      <c r="D48" s="4">
        <v>178713</v>
      </c>
    </row>
    <row r="49" spans="1:4" ht="18.5" x14ac:dyDescent="0.45">
      <c r="A49" s="2">
        <v>46143</v>
      </c>
      <c r="B49" s="3" t="s">
        <v>7</v>
      </c>
      <c r="C49" s="3" t="s">
        <v>5</v>
      </c>
      <c r="D49" s="4">
        <v>129570</v>
      </c>
    </row>
    <row r="50" spans="1:4" ht="18.5" x14ac:dyDescent="0.45">
      <c r="A50" s="2">
        <v>46143</v>
      </c>
      <c r="B50" s="3" t="s">
        <v>7</v>
      </c>
      <c r="C50" s="3" t="s">
        <v>6</v>
      </c>
      <c r="D50" s="4">
        <v>279029</v>
      </c>
    </row>
    <row r="51" spans="1:4" ht="18.5" x14ac:dyDescent="0.45">
      <c r="A51" s="5">
        <v>46143</v>
      </c>
      <c r="B51" s="6" t="s">
        <v>8</v>
      </c>
      <c r="C51" s="6"/>
      <c r="D51" s="7">
        <f>SUM(D47:D50)</f>
        <v>653704</v>
      </c>
    </row>
    <row r="52" spans="1:4" ht="18.5" x14ac:dyDescent="0.45">
      <c r="A52" s="2">
        <v>46174</v>
      </c>
      <c r="B52" s="3" t="s">
        <v>4</v>
      </c>
      <c r="C52" s="3" t="s">
        <v>5</v>
      </c>
      <c r="D52" s="4">
        <v>83198</v>
      </c>
    </row>
    <row r="53" spans="1:4" ht="18.5" x14ac:dyDescent="0.45">
      <c r="A53" s="2">
        <v>46174</v>
      </c>
      <c r="B53" s="3" t="s">
        <v>4</v>
      </c>
      <c r="C53" s="3" t="s">
        <v>6</v>
      </c>
      <c r="D53" s="4">
        <v>225264</v>
      </c>
    </row>
    <row r="54" spans="1:4" ht="18.5" x14ac:dyDescent="0.45">
      <c r="A54" s="2">
        <v>46174</v>
      </c>
      <c r="B54" s="3" t="s">
        <v>7</v>
      </c>
      <c r="C54" s="3" t="s">
        <v>5</v>
      </c>
      <c r="D54" s="4">
        <v>144598</v>
      </c>
    </row>
    <row r="55" spans="1:4" ht="18.5" x14ac:dyDescent="0.45">
      <c r="A55" s="2">
        <v>46174</v>
      </c>
      <c r="B55" s="3" t="s">
        <v>7</v>
      </c>
      <c r="C55" s="3" t="s">
        <v>6</v>
      </c>
      <c r="D55" s="4">
        <v>309490</v>
      </c>
    </row>
    <row r="56" spans="1:4" ht="18.5" x14ac:dyDescent="0.45">
      <c r="A56" s="5">
        <v>46174</v>
      </c>
      <c r="B56" s="6" t="s">
        <v>8</v>
      </c>
      <c r="C56" s="6"/>
      <c r="D56" s="7">
        <f>SUM(D52:D55)</f>
        <v>762550</v>
      </c>
    </row>
    <row r="57" spans="1:4" ht="18.5" x14ac:dyDescent="0.45">
      <c r="A57" s="2">
        <v>46204</v>
      </c>
      <c r="B57" s="3" t="s">
        <v>4</v>
      </c>
      <c r="C57" s="3" t="s">
        <v>5</v>
      </c>
      <c r="D57" s="4">
        <v>86938</v>
      </c>
    </row>
    <row r="58" spans="1:4" ht="18.5" x14ac:dyDescent="0.45">
      <c r="A58" s="2">
        <v>46204</v>
      </c>
      <c r="B58" s="3" t="s">
        <v>4</v>
      </c>
      <c r="C58" s="3" t="s">
        <v>6</v>
      </c>
      <c r="D58" s="4">
        <v>270818</v>
      </c>
    </row>
    <row r="59" spans="1:4" ht="18.5" x14ac:dyDescent="0.45">
      <c r="A59" s="2">
        <v>46204</v>
      </c>
      <c r="B59" s="3" t="s">
        <v>7</v>
      </c>
      <c r="C59" s="3" t="s">
        <v>5</v>
      </c>
      <c r="D59" s="4">
        <v>149678</v>
      </c>
    </row>
    <row r="60" spans="1:4" ht="18.5" x14ac:dyDescent="0.45">
      <c r="A60" s="2">
        <v>46204</v>
      </c>
      <c r="B60" s="3" t="s">
        <v>7</v>
      </c>
      <c r="C60" s="3" t="s">
        <v>6</v>
      </c>
      <c r="D60" s="4">
        <v>361617</v>
      </c>
    </row>
    <row r="61" spans="1:4" ht="18.5" x14ac:dyDescent="0.45">
      <c r="A61" s="5">
        <v>46204</v>
      </c>
      <c r="B61" s="6" t="s">
        <v>8</v>
      </c>
      <c r="C61" s="6"/>
      <c r="D61" s="7">
        <f>SUM(D57:D60)</f>
        <v>869051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EB306A-B40A-46AA-B928-1B68D66B23B6}">
  <dimension ref="A1:C25"/>
  <sheetViews>
    <sheetView tabSelected="1" workbookViewId="0">
      <selection activeCell="C26" sqref="C26"/>
    </sheetView>
  </sheetViews>
  <sheetFormatPr defaultRowHeight="14.5" x14ac:dyDescent="0.35"/>
  <cols>
    <col min="1" max="1" width="9.453125" bestFit="1" customWidth="1"/>
    <col min="2" max="2" width="10" customWidth="1"/>
    <col min="3" max="3" width="12.7265625" bestFit="1" customWidth="1"/>
  </cols>
  <sheetData>
    <row r="1" spans="1:3" ht="18.5" x14ac:dyDescent="0.45">
      <c r="A1" s="1" t="s">
        <v>0</v>
      </c>
      <c r="B1" s="1" t="s">
        <v>9</v>
      </c>
      <c r="C1" s="1" t="s">
        <v>10</v>
      </c>
    </row>
    <row r="2" spans="1:3" ht="18.5" x14ac:dyDescent="0.45">
      <c r="A2" s="2">
        <v>45870</v>
      </c>
      <c r="B2" s="3" t="s">
        <v>4</v>
      </c>
      <c r="C2" s="9">
        <f>data!D2+data!D3</f>
        <v>337738</v>
      </c>
    </row>
    <row r="3" spans="1:3" ht="18.5" x14ac:dyDescent="0.45">
      <c r="A3" s="2">
        <v>45870</v>
      </c>
      <c r="B3" s="3" t="s">
        <v>7</v>
      </c>
      <c r="C3" s="9">
        <f>data!D4+data!D5</f>
        <v>452439</v>
      </c>
    </row>
    <row r="4" spans="1:3" ht="18.5" x14ac:dyDescent="0.45">
      <c r="A4" s="2">
        <v>45901</v>
      </c>
      <c r="B4" s="3" t="s">
        <v>4</v>
      </c>
      <c r="C4" s="9">
        <f>data!D7+data!D8</f>
        <v>265461</v>
      </c>
    </row>
    <row r="5" spans="1:3" ht="18.5" x14ac:dyDescent="0.45">
      <c r="A5" s="2">
        <v>45901</v>
      </c>
      <c r="B5" s="3" t="s">
        <v>7</v>
      </c>
      <c r="C5" s="9">
        <f>data!D9+data!D10</f>
        <v>449298</v>
      </c>
    </row>
    <row r="6" spans="1:3" ht="18.5" x14ac:dyDescent="0.45">
      <c r="A6" s="8">
        <v>45931</v>
      </c>
      <c r="B6" s="3" t="s">
        <v>4</v>
      </c>
      <c r="C6" s="9">
        <f>data!D12+data!D13</f>
        <v>224010</v>
      </c>
    </row>
    <row r="7" spans="1:3" ht="18.5" x14ac:dyDescent="0.45">
      <c r="A7" s="8">
        <v>45931</v>
      </c>
      <c r="B7" s="3" t="s">
        <v>7</v>
      </c>
      <c r="C7" s="9">
        <f>data!D14+data!D15</f>
        <v>422029</v>
      </c>
    </row>
    <row r="8" spans="1:3" ht="18.5" x14ac:dyDescent="0.45">
      <c r="A8" s="8">
        <v>45962</v>
      </c>
      <c r="B8" s="3" t="s">
        <v>4</v>
      </c>
      <c r="C8" s="9">
        <f>data!D17+data!D18</f>
        <v>99140</v>
      </c>
    </row>
    <row r="9" spans="1:3" ht="18.5" x14ac:dyDescent="0.45">
      <c r="A9" s="8">
        <v>45962</v>
      </c>
      <c r="B9" s="3" t="s">
        <v>7</v>
      </c>
      <c r="C9" s="9">
        <f>data!D19+data!D20</f>
        <v>257459</v>
      </c>
    </row>
    <row r="10" spans="1:3" ht="18.5" x14ac:dyDescent="0.45">
      <c r="A10" s="8">
        <v>45992</v>
      </c>
      <c r="B10" s="3" t="s">
        <v>4</v>
      </c>
      <c r="C10" s="9">
        <f>data!D22+data!D23</f>
        <v>28080</v>
      </c>
    </row>
    <row r="11" spans="1:3" ht="18.5" x14ac:dyDescent="0.45">
      <c r="A11" s="8">
        <v>45992</v>
      </c>
      <c r="B11" s="3" t="s">
        <v>7</v>
      </c>
      <c r="C11" s="9">
        <f>data!D24+data!D25</f>
        <v>112454</v>
      </c>
    </row>
    <row r="12" spans="1:3" ht="18.5" x14ac:dyDescent="0.45">
      <c r="A12" s="2">
        <v>46023</v>
      </c>
      <c r="B12" s="3" t="s">
        <v>4</v>
      </c>
      <c r="C12" s="9">
        <f>data!D27+data!D28</f>
        <v>24749</v>
      </c>
    </row>
    <row r="13" spans="1:3" ht="18.5" x14ac:dyDescent="0.45">
      <c r="A13" s="2">
        <v>46023</v>
      </c>
      <c r="B13" s="3" t="s">
        <v>7</v>
      </c>
      <c r="C13" s="9">
        <f>data!D29+data!D30</f>
        <v>113038</v>
      </c>
    </row>
    <row r="14" spans="1:3" ht="18.5" x14ac:dyDescent="0.45">
      <c r="A14" s="2">
        <v>46054</v>
      </c>
      <c r="B14" s="3" t="s">
        <v>4</v>
      </c>
      <c r="C14" s="9">
        <f>data!D32+data!D33</f>
        <v>41173</v>
      </c>
    </row>
    <row r="15" spans="1:3" ht="18.5" x14ac:dyDescent="0.45">
      <c r="A15" s="2">
        <v>46054</v>
      </c>
      <c r="B15" s="3" t="s">
        <v>7</v>
      </c>
      <c r="C15" s="9">
        <f>data!D34+data!D35</f>
        <v>160277</v>
      </c>
    </row>
    <row r="16" spans="1:3" ht="18.5" x14ac:dyDescent="0.45">
      <c r="A16" s="2">
        <v>46082</v>
      </c>
      <c r="B16" s="3" t="s">
        <v>4</v>
      </c>
      <c r="C16" s="9">
        <f>data!D37+data!D38</f>
        <v>87856</v>
      </c>
    </row>
    <row r="17" spans="1:3" ht="18.5" x14ac:dyDescent="0.45">
      <c r="A17" s="2">
        <v>46082</v>
      </c>
      <c r="B17" s="3" t="s">
        <v>7</v>
      </c>
      <c r="C17" s="9">
        <f>data!D39+data!D40</f>
        <v>229181</v>
      </c>
    </row>
    <row r="18" spans="1:3" ht="18.5" x14ac:dyDescent="0.45">
      <c r="A18" s="2">
        <v>46113</v>
      </c>
      <c r="B18" s="3" t="s">
        <v>4</v>
      </c>
      <c r="C18" s="9">
        <f>data!D42+data!D43</f>
        <v>131514</v>
      </c>
    </row>
    <row r="19" spans="1:3" ht="18.5" x14ac:dyDescent="0.45">
      <c r="A19" s="2">
        <v>46113</v>
      </c>
      <c r="B19" s="3" t="s">
        <v>7</v>
      </c>
      <c r="C19" s="9">
        <f>data!D44+data!D45</f>
        <v>316738</v>
      </c>
    </row>
    <row r="20" spans="1:3" ht="18.5" x14ac:dyDescent="0.45">
      <c r="A20" s="2">
        <v>46143</v>
      </c>
      <c r="B20" s="3" t="s">
        <v>4</v>
      </c>
      <c r="C20" s="9">
        <f>data!D47+data!D48</f>
        <v>245105</v>
      </c>
    </row>
    <row r="21" spans="1:3" ht="18.5" x14ac:dyDescent="0.45">
      <c r="A21" s="2">
        <v>46143</v>
      </c>
      <c r="B21" s="3" t="s">
        <v>7</v>
      </c>
      <c r="C21" s="9">
        <f>data!D49+data!D50</f>
        <v>408599</v>
      </c>
    </row>
    <row r="22" spans="1:3" ht="18.5" x14ac:dyDescent="0.45">
      <c r="A22" s="2">
        <v>46174</v>
      </c>
      <c r="B22" s="3" t="s">
        <v>4</v>
      </c>
      <c r="C22" s="9">
        <f>data!D52+data!D53</f>
        <v>308462</v>
      </c>
    </row>
    <row r="23" spans="1:3" ht="18.5" x14ac:dyDescent="0.45">
      <c r="A23" s="2">
        <v>46174</v>
      </c>
      <c r="B23" s="3" t="s">
        <v>7</v>
      </c>
      <c r="C23" s="9">
        <f>data!D54+data!D55</f>
        <v>454088</v>
      </c>
    </row>
    <row r="24" spans="1:3" ht="18.5" x14ac:dyDescent="0.45">
      <c r="A24" s="2">
        <v>46204</v>
      </c>
      <c r="B24" s="3" t="s">
        <v>4</v>
      </c>
      <c r="C24" s="9">
        <f>data!D57+data!D58</f>
        <v>357756</v>
      </c>
    </row>
    <row r="25" spans="1:3" ht="18.5" x14ac:dyDescent="0.45">
      <c r="A25" s="2">
        <v>46204</v>
      </c>
      <c r="B25" s="3" t="s">
        <v>7</v>
      </c>
      <c r="C25" s="9">
        <f>data!D59+data!D60</f>
        <v>511295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summary&amp;visuals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Omega-0</dc:creator>
  <cp:lastModifiedBy>V i N k</cp:lastModifiedBy>
  <dcterms:created xsi:type="dcterms:W3CDTF">2015-06-05T18:17:20Z</dcterms:created>
  <dcterms:modified xsi:type="dcterms:W3CDTF">2026-10-03T04:49:23Z</dcterms:modified>
</cp:coreProperties>
</file>