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ic/exploration/"/>
    </mc:Choice>
  </mc:AlternateContent>
  <xr:revisionPtr revIDLastSave="248" documentId="8_{F458AD73-1A7C-4A90-A3C4-075A601E51AE}" xr6:coauthVersionLast="47" xr6:coauthVersionMax="47" xr10:uidLastSave="{050097B5-9A02-46DB-B9DA-CA426ECBE866}"/>
  <bookViews>
    <workbookView xWindow="-110" yWindow="-110" windowWidth="38620" windowHeight="21220" activeTab="1" xr2:uid="{C0823F01-C5E3-4A2F-A98E-3FE0EAFA7BFD}"/>
  </bookViews>
  <sheets>
    <sheet name="Stn Exploration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2" l="1"/>
  <c r="J3" i="2" s="1"/>
  <c r="C20" i="2"/>
  <c r="J2" i="2" s="1"/>
  <c r="U4" i="1"/>
  <c r="Q39" i="1"/>
  <c r="O39" i="1"/>
  <c r="M39" i="1"/>
  <c r="P29" i="1"/>
  <c r="O29" i="1"/>
  <c r="N29" i="1"/>
  <c r="P15" i="1"/>
  <c r="O15" i="1"/>
  <c r="N15" i="1"/>
  <c r="E42" i="1"/>
  <c r="D42" i="1"/>
  <c r="C42" i="1"/>
  <c r="E21" i="1"/>
  <c r="D21" i="1"/>
  <c r="C21" i="1"/>
</calcChain>
</file>

<file path=xl/sharedStrings.xml><?xml version="1.0" encoding="utf-8"?>
<sst xmlns="http://schemas.openxmlformats.org/spreadsheetml/2006/main" count="164" uniqueCount="88">
  <si>
    <t>Rank</t>
  </si>
  <si>
    <t>Station</t>
  </si>
  <si>
    <t>Start</t>
  </si>
  <si>
    <t>End</t>
  </si>
  <si>
    <t>Total</t>
  </si>
  <si>
    <t>Navy Pier</t>
  </si>
  <si>
    <t>DuSable Lake Shore Dr &amp; Monroe St</t>
  </si>
  <si>
    <t>Michigan Ave &amp; Oak St</t>
  </si>
  <si>
    <t>DuSable Lake Shore Dr &amp; North Blvd</t>
  </si>
  <si>
    <t>Millennium Park</t>
  </si>
  <si>
    <t>Theater on the Lake</t>
  </si>
  <si>
    <t>Shedd Aquarium</t>
  </si>
  <si>
    <t>Dusable Harbor</t>
  </si>
  <si>
    <t>Montrose Harbor</t>
  </si>
  <si>
    <t>Michigan Ave &amp; 8th St</t>
  </si>
  <si>
    <t>Adler Planetarium</t>
  </si>
  <si>
    <t>Clark St &amp; Lincoln Ave</t>
  </si>
  <si>
    <t>Wells St &amp; Concord Ln</t>
  </si>
  <si>
    <t>Clark St &amp; Armitage Ave</t>
  </si>
  <si>
    <t>Field Museum</t>
  </si>
  <si>
    <t>Casual</t>
  </si>
  <si>
    <t>Member</t>
  </si>
  <si>
    <t>Canal St &amp; Madison St</t>
  </si>
  <si>
    <t>State St &amp; Chicago Ave</t>
  </si>
  <si>
    <t>Clinton St &amp; Madison St</t>
  </si>
  <si>
    <t>Wells St &amp; Elm St</t>
  </si>
  <si>
    <t>Clinton St &amp; Jackson Blvd</t>
  </si>
  <si>
    <t>Wells St &amp; Huron St</t>
  </si>
  <si>
    <t>Clark St &amp; Elm St</t>
  </si>
  <si>
    <t>Clinton St &amp; Washington Blvd</t>
  </si>
  <si>
    <t>Wells St &amp; Hubbard St</t>
  </si>
  <si>
    <t>University Ave &amp; 57th St</t>
  </si>
  <si>
    <t>Kingsbury St &amp; Erie St</t>
  </si>
  <si>
    <t>Desplaines St &amp; Kinzie St</t>
  </si>
  <si>
    <t>Start Rides</t>
  </si>
  <si>
    <t>End Rides</t>
  </si>
  <si>
    <t>Total Rides</t>
  </si>
  <si>
    <t>Nearest Known Station</t>
  </si>
  <si>
    <t>Distance to Nearest (m)</t>
  </si>
  <si>
    <t>Nearest Station ID</t>
  </si>
  <si>
    <t>Ritchie Ct &amp; Banks St</t>
  </si>
  <si>
    <t>CHI00544</t>
  </si>
  <si>
    <t>New St &amp; Illinois St</t>
  </si>
  <si>
    <t>CHI00279</t>
  </si>
  <si>
    <t>Mies van der Rohe Way &amp; Chestnut St</t>
  </si>
  <si>
    <t>CHI00418</t>
  </si>
  <si>
    <t>Navy Pier Public Rack - East</t>
  </si>
  <si>
    <t>CHI02369</t>
  </si>
  <si>
    <t>CHI00374</t>
  </si>
  <si>
    <t>Clark St &amp; Fletcher St</t>
  </si>
  <si>
    <t>CHI02137</t>
  </si>
  <si>
    <t>DuSable Lake Shore Dr &amp; Belmont Ave</t>
  </si>
  <si>
    <t>CHI00480</t>
  </si>
  <si>
    <t>North Ave Public Rack - 2</t>
  </si>
  <si>
    <t>CHI02372</t>
  </si>
  <si>
    <t>Halsted St &amp; Wrightwood Ave</t>
  </si>
  <si>
    <t>CHI00504</t>
  </si>
  <si>
    <t>Stockton Dr &amp; Wrightwood Ave</t>
  </si>
  <si>
    <t>CHI00522</t>
  </si>
  <si>
    <t>Lat</t>
  </si>
  <si>
    <t>Long</t>
  </si>
  <si>
    <t>Top 15 identified stations by customer type</t>
  </si>
  <si>
    <t>Orleans St &amp; Merchandise Mart Plaza</t>
  </si>
  <si>
    <t>CHI00367</t>
  </si>
  <si>
    <t>Peoria St &amp; Kinzie St</t>
  </si>
  <si>
    <t>CHI02098</t>
  </si>
  <si>
    <t>Sangamon St &amp; Adams St</t>
  </si>
  <si>
    <t>CHI02116</t>
  </si>
  <si>
    <t>Halsted St &amp; Dickens Ave</t>
  </si>
  <si>
    <t>CHI00291</t>
  </si>
  <si>
    <t>Total Potential</t>
  </si>
  <si>
    <t>UnK Start</t>
  </si>
  <si>
    <t>UnK End</t>
  </si>
  <si>
    <t>“Approximately one-third of rides in the analyzed period had at least one missing station identifier.”</t>
  </si>
  <si>
    <t>Rides with at least one unknow station</t>
  </si>
  <si>
    <t>Total Valid Rides</t>
  </si>
  <si>
    <t>% Unknow</t>
  </si>
  <si>
    <t>Casuals</t>
  </si>
  <si>
    <t>Members</t>
  </si>
  <si>
    <t>Casual Riders</t>
  </si>
  <si>
    <t>Member Riders</t>
  </si>
  <si>
    <t>Totals:</t>
  </si>
  <si>
    <t xml:space="preserve">TOP 15  High Volume Stations </t>
  </si>
  <si>
    <t>E</t>
  </si>
  <si>
    <t>Potential numbers if UnK locations within 50m considered:</t>
  </si>
  <si>
    <t>Total rides:</t>
  </si>
  <si>
    <t>Top 15 % per group:</t>
  </si>
  <si>
    <t>Unknown location Lat/Long and the nearest known location - distance in 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</si>
</sst>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1"/>
    </xf>
    <xf numFmtId="10" fontId="0" fillId="0" borderId="0" xfId="1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3" fontId="2" fillId="0" borderId="7" xfId="0" applyNumberFormat="1" applyFont="1" applyBorder="1"/>
    <xf numFmtId="3" fontId="2" fillId="0" borderId="8" xfId="0" applyNumberFormat="1" applyFont="1" applyBorder="1"/>
    <xf numFmtId="0" fontId="2" fillId="0" borderId="9" xfId="0" applyFont="1" applyBorder="1" applyAlignment="1">
      <alignment vertical="center" wrapText="1"/>
    </xf>
    <xf numFmtId="3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7" xfId="0" applyFont="1" applyBorder="1"/>
    <xf numFmtId="0" fontId="0" fillId="0" borderId="10" xfId="0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 wrapText="1"/>
    </xf>
    <xf numFmtId="0" fontId="0" fillId="0" borderId="9" xfId="0" applyBorder="1"/>
    <xf numFmtId="0" fontId="0" fillId="0" borderId="14" xfId="0" applyBorder="1"/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9" xfId="0" applyBorder="1"/>
    <xf numFmtId="0" fontId="3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9" xfId="0" applyFont="1" applyFill="1" applyBorder="1"/>
    <xf numFmtId="0" fontId="0" fillId="0" borderId="10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23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0" xfId="0" applyFont="1" applyBorder="1"/>
    <xf numFmtId="0" fontId="2" fillId="3" borderId="20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2" fillId="3" borderId="31" xfId="0" applyFont="1" applyFill="1" applyBorder="1"/>
    <xf numFmtId="0" fontId="2" fillId="3" borderId="30" xfId="0" applyFont="1" applyFill="1" applyBorder="1"/>
    <xf numFmtId="0" fontId="2" fillId="3" borderId="3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19" xfId="0" applyFont="1" applyBorder="1"/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  <xf numFmtId="0" fontId="0" fillId="3" borderId="21" xfId="0" applyFill="1" applyBorder="1"/>
    <xf numFmtId="3" fontId="4" fillId="0" borderId="0" xfId="0" applyNumberFormat="1" applyFont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2" fillId="0" borderId="0" xfId="0" applyFont="1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10" fontId="0" fillId="0" borderId="5" xfId="1" applyNumberFormat="1" applyFont="1" applyBorder="1"/>
    <xf numFmtId="0" fontId="2" fillId="0" borderId="6" xfId="0" applyFont="1" applyBorder="1"/>
    <xf numFmtId="3" fontId="0" fillId="0" borderId="8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9" fontId="2" fillId="0" borderId="0" xfId="1" applyFont="1" applyBorder="1" applyAlignment="1">
      <alignment horizontal="center"/>
    </xf>
    <xf numFmtId="9" fontId="2" fillId="0" borderId="5" xfId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E7B6-AD1B-41EE-BA66-1A716C34FCA3}">
  <dimension ref="A1:U46"/>
  <sheetViews>
    <sheetView workbookViewId="0">
      <selection activeCell="J38" sqref="J38"/>
    </sheetView>
  </sheetViews>
  <sheetFormatPr defaultRowHeight="14.5" x14ac:dyDescent="0.35"/>
  <cols>
    <col min="1" max="1" width="6.453125" bestFit="1" customWidth="1"/>
    <col min="2" max="2" width="31.54296875" customWidth="1"/>
    <col min="3" max="3" width="7.90625" customWidth="1"/>
    <col min="4" max="5" width="7.36328125" bestFit="1" customWidth="1"/>
    <col min="8" max="8" width="9.26953125" customWidth="1"/>
    <col min="9" max="9" width="8.90625" bestFit="1" customWidth="1"/>
    <col min="10" max="10" width="7.36328125" bestFit="1" customWidth="1"/>
    <col min="11" max="11" width="31.36328125" bestFit="1" customWidth="1"/>
    <col min="13" max="13" width="15.90625" bestFit="1" customWidth="1"/>
    <col min="14" max="14" width="20.54296875" bestFit="1" customWidth="1"/>
    <col min="15" max="15" width="12.90625" bestFit="1" customWidth="1"/>
    <col min="16" max="16" width="9.08984375" bestFit="1" customWidth="1"/>
    <col min="17" max="17" width="12.90625" bestFit="1" customWidth="1"/>
    <col min="19" max="19" width="16.54296875" customWidth="1"/>
    <col min="20" max="20" width="31.7265625" bestFit="1" customWidth="1"/>
    <col min="21" max="21" width="9.1796875" bestFit="1" customWidth="1"/>
  </cols>
  <sheetData>
    <row r="1" spans="1:21" x14ac:dyDescent="0.35">
      <c r="A1" s="95" t="s">
        <v>61</v>
      </c>
      <c r="B1" s="95"/>
      <c r="C1" s="95"/>
      <c r="D1" s="95"/>
      <c r="E1" s="95"/>
      <c r="H1" s="95" t="s">
        <v>87</v>
      </c>
      <c r="I1" s="95"/>
      <c r="J1" s="95"/>
      <c r="K1" s="95"/>
      <c r="L1" s="95"/>
      <c r="M1" s="95"/>
      <c r="N1" s="95"/>
      <c r="O1" s="95"/>
      <c r="P1" s="95"/>
    </row>
    <row r="2" spans="1:21" ht="15" thickBot="1" x14ac:dyDescent="0.4">
      <c r="H2" s="84"/>
      <c r="I2" s="85"/>
      <c r="J2" s="85"/>
      <c r="K2" s="85"/>
      <c r="L2" s="85"/>
      <c r="M2" s="85"/>
      <c r="N2" s="85"/>
      <c r="O2" s="85"/>
      <c r="P2" s="85"/>
      <c r="Q2" s="85"/>
    </row>
    <row r="3" spans="1:21" ht="16.5" thickBot="1" x14ac:dyDescent="0.45">
      <c r="A3" s="25"/>
      <c r="B3" s="26" t="s">
        <v>79</v>
      </c>
      <c r="C3" s="23"/>
      <c r="D3" s="23"/>
      <c r="E3" s="24"/>
      <c r="H3" s="64" t="s">
        <v>20</v>
      </c>
      <c r="I3" s="65"/>
      <c r="J3" s="65"/>
      <c r="K3" s="65"/>
      <c r="L3" s="65"/>
      <c r="M3" s="65"/>
      <c r="N3" s="65"/>
      <c r="O3" s="65"/>
      <c r="P3" s="66"/>
      <c r="S3" t="s">
        <v>75</v>
      </c>
      <c r="T3" t="s">
        <v>74</v>
      </c>
      <c r="U3" t="s">
        <v>76</v>
      </c>
    </row>
    <row r="4" spans="1:21" x14ac:dyDescent="0.35">
      <c r="A4" s="18" t="s">
        <v>0</v>
      </c>
      <c r="B4" s="19" t="s">
        <v>1</v>
      </c>
      <c r="C4" s="19" t="s">
        <v>2</v>
      </c>
      <c r="D4" s="19" t="s">
        <v>3</v>
      </c>
      <c r="E4" s="20" t="s">
        <v>4</v>
      </c>
      <c r="H4" s="67" t="s">
        <v>0</v>
      </c>
      <c r="I4" s="84" t="s">
        <v>59</v>
      </c>
      <c r="J4" s="84" t="s">
        <v>60</v>
      </c>
      <c r="K4" s="84" t="s">
        <v>37</v>
      </c>
      <c r="L4" s="84" t="s">
        <v>39</v>
      </c>
      <c r="M4" s="84" t="s">
        <v>38</v>
      </c>
      <c r="N4" s="84" t="s">
        <v>34</v>
      </c>
      <c r="O4" s="84" t="s">
        <v>35</v>
      </c>
      <c r="P4" s="69" t="s">
        <v>36</v>
      </c>
      <c r="S4" s="1">
        <v>6037939</v>
      </c>
      <c r="T4" s="92">
        <v>2025148</v>
      </c>
      <c r="U4" s="96">
        <f>T4/S4</f>
        <v>0.33540385220851021</v>
      </c>
    </row>
    <row r="5" spans="1:21" x14ac:dyDescent="0.35">
      <c r="A5" s="13">
        <v>1</v>
      </c>
      <c r="B5" s="9" t="s">
        <v>5</v>
      </c>
      <c r="C5" s="15">
        <v>54838</v>
      </c>
      <c r="D5" s="10">
        <v>55969</v>
      </c>
      <c r="E5" s="14">
        <v>110807</v>
      </c>
      <c r="H5" s="4">
        <v>1</v>
      </c>
      <c r="I5" s="85">
        <v>41.91</v>
      </c>
      <c r="J5" s="85">
        <v>-87.63</v>
      </c>
      <c r="K5" s="85" t="s">
        <v>40</v>
      </c>
      <c r="L5" s="85" t="s">
        <v>41</v>
      </c>
      <c r="M5" s="87">
        <v>129.5</v>
      </c>
      <c r="N5" s="87">
        <v>18322</v>
      </c>
      <c r="O5" s="87">
        <v>19374</v>
      </c>
      <c r="P5" s="32">
        <v>37696</v>
      </c>
      <c r="S5" s="2" t="s">
        <v>73</v>
      </c>
    </row>
    <row r="6" spans="1:21" x14ac:dyDescent="0.35">
      <c r="A6" s="13">
        <v>2</v>
      </c>
      <c r="B6" s="11" t="s">
        <v>6</v>
      </c>
      <c r="C6" s="15">
        <v>32546</v>
      </c>
      <c r="D6" s="10">
        <v>29832</v>
      </c>
      <c r="E6" s="14">
        <v>62378</v>
      </c>
      <c r="H6" s="4">
        <v>2</v>
      </c>
      <c r="I6" s="85">
        <v>41.89</v>
      </c>
      <c r="J6" s="85">
        <v>-87.62</v>
      </c>
      <c r="K6" s="85" t="s">
        <v>42</v>
      </c>
      <c r="L6" s="85" t="s">
        <v>43</v>
      </c>
      <c r="M6" s="87">
        <v>90.3</v>
      </c>
      <c r="N6" s="87">
        <v>12882</v>
      </c>
      <c r="O6" s="87">
        <v>15004</v>
      </c>
      <c r="P6" s="32">
        <v>27886</v>
      </c>
    </row>
    <row r="7" spans="1:21" x14ac:dyDescent="0.35">
      <c r="A7" s="13">
        <v>3</v>
      </c>
      <c r="B7" s="11" t="s">
        <v>7</v>
      </c>
      <c r="C7" s="15">
        <v>22643</v>
      </c>
      <c r="D7" s="10">
        <v>22895</v>
      </c>
      <c r="E7" s="14">
        <v>45538</v>
      </c>
      <c r="H7" s="4">
        <v>3</v>
      </c>
      <c r="I7" s="85">
        <v>41.9</v>
      </c>
      <c r="J7" s="85">
        <v>-87.62</v>
      </c>
      <c r="K7" s="85" t="s">
        <v>44</v>
      </c>
      <c r="L7" s="85" t="s">
        <v>45</v>
      </c>
      <c r="M7" s="87">
        <v>168</v>
      </c>
      <c r="N7" s="87">
        <v>12218</v>
      </c>
      <c r="O7" s="87">
        <v>13101</v>
      </c>
      <c r="P7" s="32">
        <v>25319</v>
      </c>
    </row>
    <row r="8" spans="1:21" x14ac:dyDescent="0.35">
      <c r="A8" s="13">
        <v>4</v>
      </c>
      <c r="B8" s="11" t="s">
        <v>8</v>
      </c>
      <c r="C8" s="15">
        <v>19741</v>
      </c>
      <c r="D8" s="10">
        <v>21753</v>
      </c>
      <c r="E8" s="14">
        <v>41494</v>
      </c>
      <c r="H8" s="4">
        <v>4</v>
      </c>
      <c r="I8" s="85">
        <v>41.89</v>
      </c>
      <c r="J8" s="85">
        <v>-87.61</v>
      </c>
      <c r="K8" s="85" t="s">
        <v>46</v>
      </c>
      <c r="L8" s="85" t="s">
        <v>47</v>
      </c>
      <c r="M8" s="87">
        <v>107</v>
      </c>
      <c r="N8" s="87">
        <v>11805</v>
      </c>
      <c r="O8" s="87">
        <v>12593</v>
      </c>
      <c r="P8" s="32">
        <v>24398</v>
      </c>
    </row>
    <row r="9" spans="1:21" x14ac:dyDescent="0.35">
      <c r="A9" s="13">
        <v>5</v>
      </c>
      <c r="B9" s="11" t="s">
        <v>9</v>
      </c>
      <c r="C9" s="15">
        <v>18272</v>
      </c>
      <c r="D9" s="10">
        <v>19122</v>
      </c>
      <c r="E9" s="14">
        <v>37394</v>
      </c>
      <c r="H9" s="4">
        <v>5</v>
      </c>
      <c r="I9" s="85">
        <v>41.88</v>
      </c>
      <c r="J9" s="85">
        <v>-87.62</v>
      </c>
      <c r="K9" s="85" t="s">
        <v>6</v>
      </c>
      <c r="L9" s="85" t="s">
        <v>48</v>
      </c>
      <c r="M9" s="87">
        <v>282.10000000000002</v>
      </c>
      <c r="N9" s="87">
        <v>11224</v>
      </c>
      <c r="O9" s="87">
        <v>12540</v>
      </c>
      <c r="P9" s="32">
        <v>23764</v>
      </c>
    </row>
    <row r="10" spans="1:21" x14ac:dyDescent="0.35">
      <c r="A10" s="13">
        <v>6</v>
      </c>
      <c r="B10" s="11" t="s">
        <v>10</v>
      </c>
      <c r="C10" s="15">
        <v>16229</v>
      </c>
      <c r="D10" s="10">
        <v>17812</v>
      </c>
      <c r="E10" s="14">
        <v>34041</v>
      </c>
      <c r="H10" s="4">
        <v>6</v>
      </c>
      <c r="I10" s="85">
        <v>41.94</v>
      </c>
      <c r="J10" s="85">
        <v>-87.65</v>
      </c>
      <c r="K10" s="85" t="s">
        <v>49</v>
      </c>
      <c r="L10" s="85" t="s">
        <v>50</v>
      </c>
      <c r="M10" s="87">
        <v>101</v>
      </c>
      <c r="N10" s="87">
        <v>10449</v>
      </c>
      <c r="O10" s="87">
        <v>11135</v>
      </c>
      <c r="P10" s="32">
        <v>21584</v>
      </c>
    </row>
    <row r="11" spans="1:21" x14ac:dyDescent="0.35">
      <c r="A11" s="13">
        <v>7</v>
      </c>
      <c r="B11" s="11" t="s">
        <v>11</v>
      </c>
      <c r="C11" s="15">
        <v>17097</v>
      </c>
      <c r="D11" s="10">
        <v>14955</v>
      </c>
      <c r="E11" s="14">
        <v>32052</v>
      </c>
      <c r="H11" s="4">
        <v>7</v>
      </c>
      <c r="I11" s="85">
        <v>41.94</v>
      </c>
      <c r="J11" s="85">
        <v>-87.64</v>
      </c>
      <c r="K11" s="85" t="s">
        <v>51</v>
      </c>
      <c r="L11" s="85" t="s">
        <v>52</v>
      </c>
      <c r="M11" s="87">
        <v>96.7</v>
      </c>
      <c r="N11" s="87">
        <v>9773</v>
      </c>
      <c r="O11" s="87">
        <v>11560</v>
      </c>
      <c r="P11" s="32">
        <v>21333</v>
      </c>
    </row>
    <row r="12" spans="1:21" x14ac:dyDescent="0.35">
      <c r="A12" s="13">
        <v>8</v>
      </c>
      <c r="B12" s="11" t="s">
        <v>12</v>
      </c>
      <c r="C12" s="15">
        <v>14758</v>
      </c>
      <c r="D12" s="10">
        <v>12570</v>
      </c>
      <c r="E12" s="14">
        <v>27328</v>
      </c>
      <c r="H12" s="4">
        <v>8</v>
      </c>
      <c r="I12" s="85">
        <v>41.92</v>
      </c>
      <c r="J12" s="85">
        <v>-87.63</v>
      </c>
      <c r="K12" s="85" t="s">
        <v>53</v>
      </c>
      <c r="L12" s="85" t="s">
        <v>54</v>
      </c>
      <c r="M12" s="87">
        <v>96.1</v>
      </c>
      <c r="N12" s="87">
        <v>9796</v>
      </c>
      <c r="O12" s="87">
        <v>9989</v>
      </c>
      <c r="P12" s="32">
        <v>19785</v>
      </c>
    </row>
    <row r="13" spans="1:21" x14ac:dyDescent="0.35">
      <c r="A13" s="13">
        <v>9</v>
      </c>
      <c r="B13" s="11" t="s">
        <v>13</v>
      </c>
      <c r="C13" s="15">
        <v>10524</v>
      </c>
      <c r="D13" s="10">
        <v>10173</v>
      </c>
      <c r="E13" s="14">
        <v>20697</v>
      </c>
      <c r="H13" s="4">
        <v>9</v>
      </c>
      <c r="I13" s="85">
        <v>41.93</v>
      </c>
      <c r="J13" s="85">
        <v>-87.65</v>
      </c>
      <c r="K13" s="85" t="s">
        <v>55</v>
      </c>
      <c r="L13" s="85" t="s">
        <v>56</v>
      </c>
      <c r="M13" s="87">
        <v>103.9</v>
      </c>
      <c r="N13" s="87">
        <v>9011</v>
      </c>
      <c r="O13" s="87">
        <v>10234</v>
      </c>
      <c r="P13" s="32">
        <v>19245</v>
      </c>
    </row>
    <row r="14" spans="1:21" x14ac:dyDescent="0.35">
      <c r="A14" s="13">
        <v>10</v>
      </c>
      <c r="B14" s="11" t="s">
        <v>14</v>
      </c>
      <c r="C14" s="15">
        <v>11041</v>
      </c>
      <c r="D14" s="10">
        <v>9511</v>
      </c>
      <c r="E14" s="14">
        <v>20552</v>
      </c>
      <c r="H14" s="4">
        <v>10</v>
      </c>
      <c r="I14" s="85">
        <v>41.93</v>
      </c>
      <c r="J14" s="85">
        <v>-87.64</v>
      </c>
      <c r="K14" s="85" t="s">
        <v>57</v>
      </c>
      <c r="L14" s="85" t="s">
        <v>58</v>
      </c>
      <c r="M14" s="87">
        <v>173.9</v>
      </c>
      <c r="N14" s="87">
        <v>8476</v>
      </c>
      <c r="O14" s="87">
        <v>10644</v>
      </c>
      <c r="P14" s="32">
        <v>19120</v>
      </c>
    </row>
    <row r="15" spans="1:21" ht="15" thickBot="1" x14ac:dyDescent="0.4">
      <c r="A15" s="13">
        <v>11</v>
      </c>
      <c r="B15" s="11" t="s">
        <v>15</v>
      </c>
      <c r="C15" s="15">
        <v>10493</v>
      </c>
      <c r="D15" s="10">
        <v>9309</v>
      </c>
      <c r="E15" s="14">
        <v>19802</v>
      </c>
      <c r="H15" s="6"/>
      <c r="I15" s="70"/>
      <c r="J15" s="70"/>
      <c r="K15" s="70"/>
      <c r="L15" s="70"/>
      <c r="M15" s="71"/>
      <c r="N15" s="72">
        <f>SUM(N5:N14)</f>
        <v>113956</v>
      </c>
      <c r="O15" s="72">
        <f>SUM(O5:O14)</f>
        <v>126174</v>
      </c>
      <c r="P15" s="73">
        <f>SUM(P5:P14)</f>
        <v>240130</v>
      </c>
    </row>
    <row r="16" spans="1:21" ht="15" thickBot="1" x14ac:dyDescent="0.4">
      <c r="A16" s="13">
        <v>12</v>
      </c>
      <c r="B16" s="11" t="s">
        <v>16</v>
      </c>
      <c r="C16" s="15">
        <v>9778</v>
      </c>
      <c r="D16" s="10">
        <v>9776</v>
      </c>
      <c r="E16" s="14">
        <v>19554</v>
      </c>
      <c r="M16" s="1"/>
      <c r="N16" s="1"/>
      <c r="O16" s="1"/>
      <c r="P16" s="1"/>
    </row>
    <row r="17" spans="1:16" x14ac:dyDescent="0.35">
      <c r="A17" s="13">
        <v>13</v>
      </c>
      <c r="B17" s="9" t="s">
        <v>17</v>
      </c>
      <c r="C17" s="15">
        <v>9588</v>
      </c>
      <c r="D17" s="10">
        <v>9359</v>
      </c>
      <c r="E17" s="14">
        <v>18947</v>
      </c>
      <c r="H17" s="64" t="s">
        <v>21</v>
      </c>
      <c r="I17" s="65"/>
      <c r="J17" s="65"/>
      <c r="K17" s="65"/>
      <c r="L17" s="65"/>
      <c r="M17" s="74"/>
      <c r="N17" s="74"/>
      <c r="O17" s="74"/>
      <c r="P17" s="75"/>
    </row>
    <row r="18" spans="1:16" x14ac:dyDescent="0.35">
      <c r="A18" s="13">
        <v>14</v>
      </c>
      <c r="B18" s="9" t="s">
        <v>18</v>
      </c>
      <c r="C18" s="15">
        <v>9601</v>
      </c>
      <c r="D18" s="10">
        <v>9302</v>
      </c>
      <c r="E18" s="14">
        <v>18903</v>
      </c>
      <c r="H18" s="67" t="s">
        <v>0</v>
      </c>
      <c r="I18" s="68" t="s">
        <v>59</v>
      </c>
      <c r="J18" s="68" t="s">
        <v>60</v>
      </c>
      <c r="K18" s="68" t="s">
        <v>37</v>
      </c>
      <c r="L18" s="68" t="s">
        <v>39</v>
      </c>
      <c r="M18" s="76" t="s">
        <v>38</v>
      </c>
      <c r="N18" s="76" t="s">
        <v>34</v>
      </c>
      <c r="O18" s="76" t="s">
        <v>35</v>
      </c>
      <c r="P18" s="77" t="s">
        <v>36</v>
      </c>
    </row>
    <row r="19" spans="1:16" x14ac:dyDescent="0.35">
      <c r="A19" s="13">
        <v>15</v>
      </c>
      <c r="B19" s="11" t="s">
        <v>19</v>
      </c>
      <c r="C19" s="15">
        <v>10347</v>
      </c>
      <c r="D19" s="10">
        <v>7590</v>
      </c>
      <c r="E19" s="14">
        <v>17937</v>
      </c>
      <c r="H19" s="4">
        <v>1</v>
      </c>
      <c r="I19">
        <v>41.91</v>
      </c>
      <c r="J19">
        <v>-87.63</v>
      </c>
      <c r="K19" t="s">
        <v>40</v>
      </c>
      <c r="L19" t="s">
        <v>41</v>
      </c>
      <c r="M19" s="1">
        <v>129.5</v>
      </c>
      <c r="N19" s="1">
        <v>23692</v>
      </c>
      <c r="O19" s="1">
        <v>24088</v>
      </c>
      <c r="P19" s="32">
        <v>47780</v>
      </c>
    </row>
    <row r="20" spans="1:16" x14ac:dyDescent="0.35">
      <c r="A20" s="4"/>
      <c r="E20" s="5"/>
      <c r="H20" s="4">
        <v>2</v>
      </c>
      <c r="I20">
        <v>41.89</v>
      </c>
      <c r="J20">
        <v>-87.62</v>
      </c>
      <c r="K20" t="s">
        <v>42</v>
      </c>
      <c r="L20" t="s">
        <v>43</v>
      </c>
      <c r="M20" s="1">
        <v>90.3</v>
      </c>
      <c r="N20" s="1">
        <v>22500</v>
      </c>
      <c r="O20" s="1">
        <v>22778</v>
      </c>
      <c r="P20" s="32">
        <v>45278</v>
      </c>
    </row>
    <row r="21" spans="1:16" ht="15" thickBot="1" x14ac:dyDescent="0.4">
      <c r="A21" s="6"/>
      <c r="B21" s="12" t="s">
        <v>81</v>
      </c>
      <c r="C21" s="7">
        <f>SUM(C5:C19)</f>
        <v>267496</v>
      </c>
      <c r="D21" s="7">
        <f>SUM(D5:D19)</f>
        <v>259928</v>
      </c>
      <c r="E21" s="8">
        <f>SUM(E5:E19)</f>
        <v>527424</v>
      </c>
      <c r="H21" s="4">
        <v>3</v>
      </c>
      <c r="I21">
        <v>41.89</v>
      </c>
      <c r="J21">
        <v>-87.64</v>
      </c>
      <c r="K21" t="s">
        <v>62</v>
      </c>
      <c r="L21" t="s">
        <v>63</v>
      </c>
      <c r="M21" s="1">
        <v>128.1</v>
      </c>
      <c r="N21" s="1">
        <v>21684</v>
      </c>
      <c r="O21" s="1">
        <v>21527</v>
      </c>
      <c r="P21" s="32">
        <v>43211</v>
      </c>
    </row>
    <row r="22" spans="1:16" x14ac:dyDescent="0.35">
      <c r="H22" s="4">
        <v>4</v>
      </c>
      <c r="I22">
        <v>41.94</v>
      </c>
      <c r="J22">
        <v>-87.65</v>
      </c>
      <c r="K22" t="s">
        <v>49</v>
      </c>
      <c r="L22" t="s">
        <v>50</v>
      </c>
      <c r="M22" s="1">
        <v>101</v>
      </c>
      <c r="N22" s="1">
        <v>17619</v>
      </c>
      <c r="O22" s="1">
        <v>17083</v>
      </c>
      <c r="P22" s="32">
        <v>34702</v>
      </c>
    </row>
    <row r="23" spans="1:16" ht="15" thickBot="1" x14ac:dyDescent="0.4">
      <c r="H23" s="4">
        <v>5</v>
      </c>
      <c r="I23">
        <v>41.93</v>
      </c>
      <c r="J23">
        <v>-87.65</v>
      </c>
      <c r="K23" t="s">
        <v>55</v>
      </c>
      <c r="L23" t="s">
        <v>56</v>
      </c>
      <c r="M23" s="1">
        <v>103.9</v>
      </c>
      <c r="N23" s="1">
        <v>17105</v>
      </c>
      <c r="O23" s="1">
        <v>16977</v>
      </c>
      <c r="P23" s="32">
        <v>34082</v>
      </c>
    </row>
    <row r="24" spans="1:16" ht="16.5" thickBot="1" x14ac:dyDescent="0.4">
      <c r="A24" s="21"/>
      <c r="B24" s="22" t="s">
        <v>80</v>
      </c>
      <c r="C24" s="23"/>
      <c r="D24" s="23"/>
      <c r="E24" s="24"/>
      <c r="H24" s="4">
        <v>6</v>
      </c>
      <c r="I24">
        <v>41.89</v>
      </c>
      <c r="J24">
        <v>-87.65</v>
      </c>
      <c r="K24" t="s">
        <v>64</v>
      </c>
      <c r="L24" t="s">
        <v>65</v>
      </c>
      <c r="M24" s="1">
        <v>94.3</v>
      </c>
      <c r="N24" s="1">
        <v>15812</v>
      </c>
      <c r="O24" s="1">
        <v>16588</v>
      </c>
      <c r="P24" s="32">
        <v>32400</v>
      </c>
    </row>
    <row r="25" spans="1:16" x14ac:dyDescent="0.35">
      <c r="A25" s="18" t="s">
        <v>0</v>
      </c>
      <c r="B25" s="19" t="s">
        <v>1</v>
      </c>
      <c r="C25" s="19" t="s">
        <v>2</v>
      </c>
      <c r="D25" s="19" t="s">
        <v>3</v>
      </c>
      <c r="E25" s="20" t="s">
        <v>4</v>
      </c>
      <c r="H25" s="4">
        <v>7</v>
      </c>
      <c r="I25">
        <v>41.93</v>
      </c>
      <c r="J25">
        <v>-87.64</v>
      </c>
      <c r="K25" t="s">
        <v>57</v>
      </c>
      <c r="L25" t="s">
        <v>58</v>
      </c>
      <c r="M25" s="1">
        <v>173.9</v>
      </c>
      <c r="N25" s="1">
        <v>15879</v>
      </c>
      <c r="O25" s="1">
        <v>14912</v>
      </c>
      <c r="P25" s="32">
        <v>30791</v>
      </c>
    </row>
    <row r="26" spans="1:16" x14ac:dyDescent="0.35">
      <c r="A26" s="13">
        <v>1</v>
      </c>
      <c r="B26" s="11" t="s">
        <v>22</v>
      </c>
      <c r="C26" s="10">
        <v>22974</v>
      </c>
      <c r="D26" s="10">
        <v>22312</v>
      </c>
      <c r="E26" s="14">
        <v>45286</v>
      </c>
      <c r="H26" s="4">
        <v>8</v>
      </c>
      <c r="I26">
        <v>41.94</v>
      </c>
      <c r="J26">
        <v>-87.64</v>
      </c>
      <c r="K26" t="s">
        <v>51</v>
      </c>
      <c r="L26" t="s">
        <v>52</v>
      </c>
      <c r="M26" s="1">
        <v>96.7</v>
      </c>
      <c r="N26" s="1">
        <v>15411</v>
      </c>
      <c r="O26" s="1">
        <v>14685</v>
      </c>
      <c r="P26" s="32">
        <v>30096</v>
      </c>
    </row>
    <row r="27" spans="1:16" x14ac:dyDescent="0.35">
      <c r="A27" s="13">
        <v>2</v>
      </c>
      <c r="B27" s="11" t="s">
        <v>23</v>
      </c>
      <c r="C27" s="10">
        <v>21642</v>
      </c>
      <c r="D27" s="10">
        <v>22189</v>
      </c>
      <c r="E27" s="14">
        <v>43831</v>
      </c>
      <c r="H27" s="4">
        <v>9</v>
      </c>
      <c r="I27">
        <v>41.88</v>
      </c>
      <c r="J27">
        <v>-87.65</v>
      </c>
      <c r="K27" t="s">
        <v>66</v>
      </c>
      <c r="L27" t="s">
        <v>67</v>
      </c>
      <c r="M27" s="1">
        <v>139.80000000000001</v>
      </c>
      <c r="N27" s="1">
        <v>14563</v>
      </c>
      <c r="O27" s="1">
        <v>14660</v>
      </c>
      <c r="P27" s="32">
        <v>29223</v>
      </c>
    </row>
    <row r="28" spans="1:16" x14ac:dyDescent="0.35">
      <c r="A28" s="13">
        <v>3</v>
      </c>
      <c r="B28" s="9" t="s">
        <v>17</v>
      </c>
      <c r="C28" s="10">
        <v>19681</v>
      </c>
      <c r="D28" s="10">
        <v>19799</v>
      </c>
      <c r="E28" s="14">
        <v>39480</v>
      </c>
      <c r="H28" s="4">
        <v>10</v>
      </c>
      <c r="I28">
        <v>41.92</v>
      </c>
      <c r="J28">
        <v>-87.65</v>
      </c>
      <c r="K28" t="s">
        <v>68</v>
      </c>
      <c r="L28" t="s">
        <v>69</v>
      </c>
      <c r="M28" s="1">
        <v>73.7</v>
      </c>
      <c r="N28" s="1">
        <v>13707</v>
      </c>
      <c r="O28" s="1">
        <v>13668</v>
      </c>
      <c r="P28" s="32">
        <v>27375</v>
      </c>
    </row>
    <row r="29" spans="1:16" ht="15" thickBot="1" x14ac:dyDescent="0.4">
      <c r="A29" s="13">
        <v>4</v>
      </c>
      <c r="B29" s="11" t="s">
        <v>24</v>
      </c>
      <c r="C29" s="10">
        <v>19531</v>
      </c>
      <c r="D29" s="10">
        <v>19932</v>
      </c>
      <c r="E29" s="14">
        <v>39463</v>
      </c>
      <c r="H29" s="6"/>
      <c r="I29" s="70"/>
      <c r="J29" s="70"/>
      <c r="K29" s="70"/>
      <c r="L29" s="70"/>
      <c r="M29" s="71"/>
      <c r="N29" s="72">
        <f>SUM(N19:N28)</f>
        <v>177972</v>
      </c>
      <c r="O29" s="72">
        <f>SUM(O19:O28)</f>
        <v>176966</v>
      </c>
      <c r="P29" s="73">
        <f>SUM(P19:P28)</f>
        <v>354938</v>
      </c>
    </row>
    <row r="30" spans="1:16" x14ac:dyDescent="0.35">
      <c r="A30" s="13">
        <v>5</v>
      </c>
      <c r="B30" s="11" t="s">
        <v>25</v>
      </c>
      <c r="C30" s="10">
        <v>19657</v>
      </c>
      <c r="D30" s="10">
        <v>19403</v>
      </c>
      <c r="E30" s="14">
        <v>39060</v>
      </c>
    </row>
    <row r="31" spans="1:16" x14ac:dyDescent="0.35">
      <c r="A31" s="13">
        <v>6</v>
      </c>
      <c r="B31" s="11" t="s">
        <v>26</v>
      </c>
      <c r="C31" s="10">
        <v>19626</v>
      </c>
      <c r="D31" s="10">
        <v>18944</v>
      </c>
      <c r="E31" s="14">
        <v>38570</v>
      </c>
    </row>
    <row r="32" spans="1:16" x14ac:dyDescent="0.35">
      <c r="A32" s="13">
        <v>7</v>
      </c>
      <c r="B32" s="11" t="s">
        <v>27</v>
      </c>
      <c r="C32" s="10">
        <v>18136</v>
      </c>
      <c r="D32" s="10">
        <v>17731</v>
      </c>
      <c r="E32" s="14">
        <v>35867</v>
      </c>
    </row>
    <row r="33" spans="1:17" x14ac:dyDescent="0.35">
      <c r="A33" s="13">
        <v>8</v>
      </c>
      <c r="B33" s="11" t="s">
        <v>28</v>
      </c>
      <c r="C33" s="10">
        <v>17593</v>
      </c>
      <c r="D33" s="10">
        <v>18128</v>
      </c>
      <c r="E33" s="14">
        <v>35721</v>
      </c>
    </row>
    <row r="34" spans="1:17" x14ac:dyDescent="0.35">
      <c r="A34" s="13">
        <v>9</v>
      </c>
      <c r="B34" s="11" t="s">
        <v>29</v>
      </c>
      <c r="C34" s="10">
        <v>17564</v>
      </c>
      <c r="D34" s="10">
        <v>16979</v>
      </c>
      <c r="E34" s="14">
        <v>34543</v>
      </c>
    </row>
    <row r="35" spans="1:17" ht="15" thickBot="1" x14ac:dyDescent="0.4">
      <c r="A35" s="13" t="s">
        <v>83</v>
      </c>
      <c r="B35" s="11" t="s">
        <v>30</v>
      </c>
      <c r="C35" s="10">
        <v>16873</v>
      </c>
      <c r="D35" s="10">
        <v>17012</v>
      </c>
      <c r="E35" s="14">
        <v>33885</v>
      </c>
    </row>
    <row r="36" spans="1:17" x14ac:dyDescent="0.35">
      <c r="A36" s="13">
        <v>11</v>
      </c>
      <c r="B36" s="11" t="s">
        <v>31</v>
      </c>
      <c r="C36" s="10">
        <v>16250</v>
      </c>
      <c r="D36" s="10">
        <v>16218</v>
      </c>
      <c r="E36" s="14">
        <v>32468</v>
      </c>
      <c r="J36" s="82"/>
      <c r="K36" s="83" t="s">
        <v>84</v>
      </c>
      <c r="L36" s="65"/>
      <c r="M36" s="65"/>
      <c r="N36" s="65"/>
      <c r="O36" s="65"/>
      <c r="P36" s="65"/>
      <c r="Q36" s="66"/>
    </row>
    <row r="37" spans="1:17" x14ac:dyDescent="0.35">
      <c r="A37" s="13">
        <v>12</v>
      </c>
      <c r="B37" s="11" t="s">
        <v>32</v>
      </c>
      <c r="C37" s="10">
        <v>15872</v>
      </c>
      <c r="D37" s="10">
        <v>15695</v>
      </c>
      <c r="E37" s="14">
        <v>31567</v>
      </c>
      <c r="J37" s="67"/>
      <c r="K37" s="84"/>
      <c r="L37" s="88" t="s">
        <v>2</v>
      </c>
      <c r="M37" s="88" t="s">
        <v>71</v>
      </c>
      <c r="N37" s="88" t="s">
        <v>3</v>
      </c>
      <c r="O37" s="88" t="s">
        <v>72</v>
      </c>
      <c r="P37" s="88" t="s">
        <v>4</v>
      </c>
      <c r="Q37" s="77" t="s">
        <v>70</v>
      </c>
    </row>
    <row r="38" spans="1:17" x14ac:dyDescent="0.35">
      <c r="A38" s="13">
        <v>13</v>
      </c>
      <c r="B38" s="11" t="s">
        <v>33</v>
      </c>
      <c r="C38" s="10">
        <v>16108</v>
      </c>
      <c r="D38" s="10">
        <v>15298</v>
      </c>
      <c r="E38" s="14">
        <v>31406</v>
      </c>
      <c r="J38" s="4">
        <v>1</v>
      </c>
      <c r="K38" s="85" t="s">
        <v>24</v>
      </c>
      <c r="L38" s="87">
        <v>19531</v>
      </c>
      <c r="M38" s="87">
        <v>34199</v>
      </c>
      <c r="N38" s="87">
        <v>19932</v>
      </c>
      <c r="O38" s="87">
        <v>30644</v>
      </c>
      <c r="P38" s="87">
        <v>39463</v>
      </c>
      <c r="Q38" s="32">
        <v>104306</v>
      </c>
    </row>
    <row r="39" spans="1:17" x14ac:dyDescent="0.35">
      <c r="A39" s="13">
        <v>14</v>
      </c>
      <c r="B39" s="9" t="s">
        <v>5</v>
      </c>
      <c r="C39" s="10">
        <v>16415</v>
      </c>
      <c r="D39" s="10">
        <v>14673</v>
      </c>
      <c r="E39" s="14">
        <v>31088</v>
      </c>
      <c r="J39" s="4"/>
      <c r="K39" s="85"/>
      <c r="L39" s="87"/>
      <c r="M39" s="93">
        <f>M38/L38</f>
        <v>1.7510112129435256</v>
      </c>
      <c r="N39" s="88"/>
      <c r="O39" s="93">
        <f>O38/N38</f>
        <v>1.5374272526590407</v>
      </c>
      <c r="P39" s="88"/>
      <c r="Q39" s="94">
        <f>Q38/P38</f>
        <v>2.6431340749562882</v>
      </c>
    </row>
    <row r="40" spans="1:17" ht="15" thickBot="1" x14ac:dyDescent="0.4">
      <c r="A40" s="13">
        <v>15</v>
      </c>
      <c r="B40" s="9" t="s">
        <v>18</v>
      </c>
      <c r="C40" s="10">
        <v>15281</v>
      </c>
      <c r="D40" s="10">
        <v>15365</v>
      </c>
      <c r="E40" s="14">
        <v>30646</v>
      </c>
      <c r="J40" s="6"/>
      <c r="K40" s="70"/>
      <c r="L40" s="70"/>
      <c r="M40" s="70"/>
      <c r="N40" s="70"/>
      <c r="O40" s="70"/>
      <c r="P40" s="70"/>
      <c r="Q40" s="86"/>
    </row>
    <row r="41" spans="1:17" x14ac:dyDescent="0.35">
      <c r="A41" s="4"/>
      <c r="E41" s="5"/>
    </row>
    <row r="42" spans="1:17" ht="15" thickBot="1" x14ac:dyDescent="0.4">
      <c r="A42" s="6"/>
      <c r="B42" s="12" t="s">
        <v>81</v>
      </c>
      <c r="C42" s="7">
        <f>SUM(C26:C40)</f>
        <v>273203</v>
      </c>
      <c r="D42" s="7">
        <f>SUM(D26:D40)</f>
        <v>269678</v>
      </c>
      <c r="E42" s="8">
        <f>SUM(E26:E40)</f>
        <v>542881</v>
      </c>
    </row>
    <row r="44" spans="1:17" x14ac:dyDescent="0.35">
      <c r="E44" s="3"/>
    </row>
    <row r="45" spans="1:17" x14ac:dyDescent="0.35">
      <c r="E45" s="3"/>
    </row>
    <row r="46" spans="1:17" x14ac:dyDescent="0.35">
      <c r="E46" s="63"/>
    </row>
  </sheetData>
  <mergeCells count="2">
    <mergeCell ref="A1:E1"/>
    <mergeCell ref="H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899C-506B-4CD2-A2CB-640CE1D58C96}">
  <dimension ref="A1:J20"/>
  <sheetViews>
    <sheetView tabSelected="1" zoomScaleNormal="100" workbookViewId="0">
      <selection activeCell="J2" sqref="J2"/>
    </sheetView>
  </sheetViews>
  <sheetFormatPr defaultRowHeight="14.5" x14ac:dyDescent="0.35"/>
  <cols>
    <col min="1" max="1" width="4.81640625" bestFit="1" customWidth="1"/>
    <col min="2" max="2" width="30.453125" customWidth="1"/>
    <col min="4" max="4" width="3.36328125" customWidth="1"/>
    <col min="5" max="5" width="5.08984375" bestFit="1" customWidth="1"/>
    <col min="6" max="6" width="25.453125" customWidth="1"/>
    <col min="8" max="8" width="24.08984375" bestFit="1" customWidth="1"/>
    <col min="9" max="9" width="9.7265625" bestFit="1" customWidth="1"/>
    <col min="10" max="10" width="9.54296875" bestFit="1" customWidth="1"/>
  </cols>
  <sheetData>
    <row r="1" spans="1:10" ht="16.5" thickBot="1" x14ac:dyDescent="0.45">
      <c r="A1" s="78" t="s">
        <v>82</v>
      </c>
      <c r="B1" s="79"/>
      <c r="C1" s="79"/>
      <c r="D1" s="80"/>
      <c r="E1" s="79"/>
      <c r="F1" s="79"/>
      <c r="G1" s="81"/>
      <c r="I1" s="64" t="s">
        <v>86</v>
      </c>
      <c r="J1" s="66"/>
    </row>
    <row r="2" spans="1:10" ht="15" thickBot="1" x14ac:dyDescent="0.4">
      <c r="A2" s="59"/>
      <c r="B2" s="45" t="s">
        <v>79</v>
      </c>
      <c r="C2" s="60"/>
      <c r="D2" s="54"/>
      <c r="E2" s="61"/>
      <c r="F2" s="45" t="s">
        <v>80</v>
      </c>
      <c r="G2" s="62"/>
      <c r="I2" s="67" t="s">
        <v>77</v>
      </c>
      <c r="J2" s="89">
        <f>C20/J4</f>
        <v>8.7351660889585001E-2</v>
      </c>
    </row>
    <row r="3" spans="1:10" ht="15" thickBot="1" x14ac:dyDescent="0.4">
      <c r="A3" s="30" t="s">
        <v>0</v>
      </c>
      <c r="B3" s="27" t="s">
        <v>1</v>
      </c>
      <c r="C3" s="27" t="s">
        <v>4</v>
      </c>
      <c r="D3" s="55"/>
      <c r="E3" s="27" t="s">
        <v>0</v>
      </c>
      <c r="F3" s="27" t="s">
        <v>1</v>
      </c>
      <c r="G3" s="31" t="s">
        <v>4</v>
      </c>
      <c r="I3" s="67" t="s">
        <v>78</v>
      </c>
      <c r="J3" s="89">
        <f>G20/J4</f>
        <v>8.9911640379275112E-2</v>
      </c>
    </row>
    <row r="4" spans="1:10" ht="15" thickBot="1" x14ac:dyDescent="0.4">
      <c r="A4" s="37">
        <v>1</v>
      </c>
      <c r="B4" s="38" t="s">
        <v>5</v>
      </c>
      <c r="C4" s="46">
        <v>110807</v>
      </c>
      <c r="D4" s="56"/>
      <c r="E4" s="49">
        <v>1</v>
      </c>
      <c r="F4" s="17" t="s">
        <v>22</v>
      </c>
      <c r="G4" s="41">
        <v>45286</v>
      </c>
      <c r="I4" s="90" t="s">
        <v>85</v>
      </c>
      <c r="J4" s="91">
        <v>6037939</v>
      </c>
    </row>
    <row r="5" spans="1:10" x14ac:dyDescent="0.35">
      <c r="A5" s="34">
        <v>2</v>
      </c>
      <c r="B5" s="16" t="s">
        <v>6</v>
      </c>
      <c r="C5" s="47">
        <v>62378</v>
      </c>
      <c r="D5" s="56"/>
      <c r="E5" s="50">
        <v>2</v>
      </c>
      <c r="F5" s="16" t="s">
        <v>23</v>
      </c>
      <c r="G5" s="42">
        <v>43831</v>
      </c>
    </row>
    <row r="6" spans="1:10" x14ac:dyDescent="0.35">
      <c r="A6" s="34">
        <v>3</v>
      </c>
      <c r="B6" s="16" t="s">
        <v>7</v>
      </c>
      <c r="C6" s="47">
        <v>45538</v>
      </c>
      <c r="D6" s="56"/>
      <c r="E6" s="51">
        <v>3</v>
      </c>
      <c r="F6" s="33" t="s">
        <v>17</v>
      </c>
      <c r="G6" s="42">
        <v>39480</v>
      </c>
    </row>
    <row r="7" spans="1:10" x14ac:dyDescent="0.35">
      <c r="A7" s="34">
        <v>4</v>
      </c>
      <c r="B7" s="16" t="s">
        <v>8</v>
      </c>
      <c r="C7" s="47">
        <v>41494</v>
      </c>
      <c r="D7" s="56"/>
      <c r="E7" s="50">
        <v>4</v>
      </c>
      <c r="F7" s="16" t="s">
        <v>24</v>
      </c>
      <c r="G7" s="42">
        <v>39463</v>
      </c>
    </row>
    <row r="8" spans="1:10" x14ac:dyDescent="0.35">
      <c r="A8" s="34">
        <v>5</v>
      </c>
      <c r="B8" s="16" t="s">
        <v>9</v>
      </c>
      <c r="C8" s="47">
        <v>37394</v>
      </c>
      <c r="D8" s="56"/>
      <c r="E8" s="50">
        <v>5</v>
      </c>
      <c r="F8" s="16" t="s">
        <v>25</v>
      </c>
      <c r="G8" s="42">
        <v>39060</v>
      </c>
    </row>
    <row r="9" spans="1:10" x14ac:dyDescent="0.35">
      <c r="A9" s="34">
        <v>6</v>
      </c>
      <c r="B9" s="16" t="s">
        <v>10</v>
      </c>
      <c r="C9" s="47">
        <v>34041</v>
      </c>
      <c r="D9" s="56"/>
      <c r="E9" s="50">
        <v>6</v>
      </c>
      <c r="F9" s="16" t="s">
        <v>26</v>
      </c>
      <c r="G9" s="42">
        <v>38570</v>
      </c>
    </row>
    <row r="10" spans="1:10" x14ac:dyDescent="0.35">
      <c r="A10" s="34">
        <v>7</v>
      </c>
      <c r="B10" s="16" t="s">
        <v>11</v>
      </c>
      <c r="C10" s="47">
        <v>32052</v>
      </c>
      <c r="D10" s="56"/>
      <c r="E10" s="50">
        <v>7</v>
      </c>
      <c r="F10" s="16" t="s">
        <v>27</v>
      </c>
      <c r="G10" s="42">
        <v>35867</v>
      </c>
    </row>
    <row r="11" spans="1:10" x14ac:dyDescent="0.35">
      <c r="A11" s="34">
        <v>8</v>
      </c>
      <c r="B11" s="16" t="s">
        <v>12</v>
      </c>
      <c r="C11" s="47">
        <v>27328</v>
      </c>
      <c r="D11" s="56"/>
      <c r="E11" s="50">
        <v>8</v>
      </c>
      <c r="F11" s="16" t="s">
        <v>28</v>
      </c>
      <c r="G11" s="42">
        <v>35721</v>
      </c>
    </row>
    <row r="12" spans="1:10" x14ac:dyDescent="0.35">
      <c r="A12" s="34">
        <v>9</v>
      </c>
      <c r="B12" s="16" t="s">
        <v>13</v>
      </c>
      <c r="C12" s="47">
        <v>20697</v>
      </c>
      <c r="D12" s="56"/>
      <c r="E12" s="50">
        <v>9</v>
      </c>
      <c r="F12" s="16" t="s">
        <v>29</v>
      </c>
      <c r="G12" s="42">
        <v>34543</v>
      </c>
    </row>
    <row r="13" spans="1:10" x14ac:dyDescent="0.35">
      <c r="A13" s="34">
        <v>10</v>
      </c>
      <c r="B13" s="16" t="s">
        <v>14</v>
      </c>
      <c r="C13" s="47">
        <v>20552</v>
      </c>
      <c r="D13" s="56"/>
      <c r="E13" s="50">
        <v>10</v>
      </c>
      <c r="F13" s="16" t="s">
        <v>30</v>
      </c>
      <c r="G13" s="42">
        <v>33885</v>
      </c>
    </row>
    <row r="14" spans="1:10" x14ac:dyDescent="0.35">
      <c r="A14" s="34">
        <v>11</v>
      </c>
      <c r="B14" s="16" t="s">
        <v>15</v>
      </c>
      <c r="C14" s="47">
        <v>19802</v>
      </c>
      <c r="D14" s="56"/>
      <c r="E14" s="50">
        <v>11</v>
      </c>
      <c r="F14" s="16" t="s">
        <v>31</v>
      </c>
      <c r="G14" s="42">
        <v>32468</v>
      </c>
    </row>
    <row r="15" spans="1:10" x14ac:dyDescent="0.35">
      <c r="A15" s="34">
        <v>12</v>
      </c>
      <c r="B15" s="16" t="s">
        <v>16</v>
      </c>
      <c r="C15" s="47">
        <v>19554</v>
      </c>
      <c r="D15" s="56"/>
      <c r="E15" s="50">
        <v>12</v>
      </c>
      <c r="F15" s="16" t="s">
        <v>32</v>
      </c>
      <c r="G15" s="42">
        <v>31567</v>
      </c>
    </row>
    <row r="16" spans="1:10" x14ac:dyDescent="0.35">
      <c r="A16" s="35">
        <v>13</v>
      </c>
      <c r="B16" s="33" t="s">
        <v>17</v>
      </c>
      <c r="C16" s="47">
        <v>18947</v>
      </c>
      <c r="D16" s="56"/>
      <c r="E16" s="50">
        <v>13</v>
      </c>
      <c r="F16" s="16" t="s">
        <v>33</v>
      </c>
      <c r="G16" s="42">
        <v>31406</v>
      </c>
    </row>
    <row r="17" spans="1:7" x14ac:dyDescent="0.35">
      <c r="A17" s="35">
        <v>14</v>
      </c>
      <c r="B17" s="33" t="s">
        <v>18</v>
      </c>
      <c r="C17" s="47">
        <v>18903</v>
      </c>
      <c r="D17" s="56"/>
      <c r="E17" s="51">
        <v>14</v>
      </c>
      <c r="F17" s="33" t="s">
        <v>5</v>
      </c>
      <c r="G17" s="42">
        <v>31088</v>
      </c>
    </row>
    <row r="18" spans="1:7" ht="15" thickBot="1" x14ac:dyDescent="0.4">
      <c r="A18" s="39">
        <v>15</v>
      </c>
      <c r="B18" s="40" t="s">
        <v>19</v>
      </c>
      <c r="C18" s="48">
        <v>17937</v>
      </c>
      <c r="D18" s="56"/>
      <c r="E18" s="52">
        <v>15</v>
      </c>
      <c r="F18" s="36" t="s">
        <v>18</v>
      </c>
      <c r="G18" s="43">
        <v>30646</v>
      </c>
    </row>
    <row r="19" spans="1:7" ht="15" thickBot="1" x14ac:dyDescent="0.4">
      <c r="A19" s="4"/>
      <c r="C19" s="1"/>
      <c r="D19" s="53"/>
      <c r="G19" s="32"/>
    </row>
    <row r="20" spans="1:7" ht="15" thickBot="1" x14ac:dyDescent="0.4">
      <c r="A20" s="21"/>
      <c r="B20" s="44" t="s">
        <v>81</v>
      </c>
      <c r="C20" s="28">
        <f>SUM(C4:C18)</f>
        <v>527424</v>
      </c>
      <c r="D20" s="57"/>
      <c r="E20" s="58"/>
      <c r="F20" s="44" t="s">
        <v>81</v>
      </c>
      <c r="G20" s="29">
        <f>SUM(G4:G18)</f>
        <v>542881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Stn Exploration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i N k</dc:creator>
  <cp:lastModifiedBy>V i N k</cp:lastModifiedBy>
  <dcterms:created xsi:type="dcterms:W3CDTF">2026-09-15T03:53:14Z</dcterms:created>
  <dcterms:modified xsi:type="dcterms:W3CDTF">2026-10-04T21:10:28Z</dcterms:modified>
</cp:coreProperties>
</file>