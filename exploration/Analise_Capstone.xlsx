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/"/>
    </mc:Choice>
  </mc:AlternateContent>
  <xr:revisionPtr revIDLastSave="363" documentId="8_{E51C235A-6C26-4F55-8209-D231C0B4C446}" xr6:coauthVersionLast="47" xr6:coauthVersionMax="47" xr10:uidLastSave="{A3DF514D-D7D3-420D-B67E-78A4D2AAF429}"/>
  <bookViews>
    <workbookView xWindow="-110" yWindow="-110" windowWidth="38620" windowHeight="21220" activeTab="2" xr2:uid="{04D9ADFC-EE3B-48D6-84C6-DBB76735CB41}"/>
  </bookViews>
  <sheets>
    <sheet name="Sheet1" sheetId="1" r:id="rId1"/>
    <sheet name="Rides Distribution" sheetId="2" r:id="rId2"/>
    <sheet name="Rides_Distr_LO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3" l="1"/>
  <c r="D28" i="3"/>
  <c r="D30" i="3"/>
  <c r="D31" i="3"/>
  <c r="C31" i="3"/>
  <c r="C30" i="3"/>
  <c r="C29" i="3"/>
  <c r="C28" i="3"/>
  <c r="F21" i="3"/>
  <c r="F20" i="3"/>
  <c r="F19" i="3"/>
  <c r="F18" i="3"/>
  <c r="E21" i="3"/>
  <c r="E20" i="3"/>
  <c r="E19" i="3"/>
  <c r="E18" i="3"/>
  <c r="D21" i="3"/>
  <c r="D20" i="3"/>
  <c r="D19" i="3"/>
  <c r="D18" i="3"/>
  <c r="C21" i="3"/>
  <c r="C20" i="3"/>
  <c r="C19" i="3"/>
  <c r="C18" i="3"/>
  <c r="F10" i="3"/>
  <c r="F9" i="3"/>
  <c r="F8" i="3"/>
  <c r="E10" i="3"/>
  <c r="E9" i="3"/>
  <c r="E8" i="3"/>
  <c r="E7" i="3"/>
  <c r="D10" i="3"/>
  <c r="D9" i="3"/>
  <c r="D8" i="3"/>
  <c r="D7" i="3"/>
  <c r="C10" i="3"/>
  <c r="C9" i="3"/>
  <c r="C8" i="3"/>
  <c r="C7" i="3"/>
  <c r="D44" i="1"/>
  <c r="D47" i="1"/>
  <c r="D41" i="1"/>
  <c r="D38" i="1"/>
  <c r="D35" i="1"/>
  <c r="B32" i="1"/>
  <c r="C33" i="1" s="1"/>
  <c r="B35" i="1"/>
  <c r="C37" i="1" s="1"/>
  <c r="B38" i="1"/>
  <c r="C39" i="1" s="1"/>
  <c r="B41" i="1"/>
  <c r="C42" i="1" s="1"/>
  <c r="B44" i="1"/>
  <c r="C46" i="1" s="1"/>
  <c r="B47" i="1"/>
  <c r="C48" i="1" s="1"/>
  <c r="B23" i="1"/>
  <c r="D23" i="1" s="1"/>
  <c r="B29" i="1"/>
  <c r="D29" i="1" s="1"/>
  <c r="B26" i="1"/>
  <c r="C27" i="1" s="1"/>
  <c r="B20" i="1"/>
  <c r="C22" i="1" s="1"/>
  <c r="B17" i="1"/>
  <c r="C18" i="1" s="1"/>
  <c r="B14" i="1"/>
  <c r="D14" i="1" s="1"/>
  <c r="D51" i="1" l="1"/>
  <c r="C45" i="1"/>
  <c r="C36" i="1"/>
  <c r="C40" i="1"/>
  <c r="C15" i="1"/>
  <c r="C16" i="1"/>
  <c r="C19" i="1"/>
  <c r="C21" i="1"/>
  <c r="C24" i="1"/>
  <c r="C25" i="1"/>
  <c r="D26" i="1"/>
  <c r="C34" i="1"/>
  <c r="C28" i="1"/>
  <c r="C31" i="1"/>
  <c r="D17" i="1"/>
  <c r="C49" i="1"/>
  <c r="C43" i="1"/>
  <c r="C30" i="1"/>
</calcChain>
</file>

<file path=xl/sharedStrings.xml><?xml version="1.0" encoding="utf-8"?>
<sst xmlns="http://schemas.openxmlformats.org/spreadsheetml/2006/main" count="422" uniqueCount="167">
  <si>
    <t>Query results:</t>
  </si>
  <si>
    <t>Ride</t>
  </si>
  <si>
    <t xml:space="preserve">ride_id </t>
  </si>
  <si>
    <t>total</t>
  </si>
  <si>
    <t>classic</t>
  </si>
  <si>
    <t>electric</t>
  </si>
  <si>
    <t>Member</t>
  </si>
  <si>
    <t>Total</t>
  </si>
  <si>
    <t>Users</t>
  </si>
  <si>
    <t>member</t>
  </si>
  <si>
    <t>casual</t>
  </si>
  <si>
    <t>rideable_type x member_casual</t>
  </si>
  <si>
    <t>Casual + Classic</t>
  </si>
  <si>
    <t>Casual + Electric</t>
  </si>
  <si>
    <t>Member + Classic</t>
  </si>
  <si>
    <t>Member + Electric</t>
  </si>
  <si>
    <t>Ride Duration</t>
  </si>
  <si>
    <t>Casual</t>
  </si>
  <si>
    <t>&lt; 0 minutos</t>
  </si>
  <si>
    <t>0-1</t>
  </si>
  <si>
    <t>0-5</t>
  </si>
  <si>
    <t>0-2</t>
  </si>
  <si>
    <t>%</t>
  </si>
  <si>
    <t>0-10</t>
  </si>
  <si>
    <t>0-30</t>
  </si>
  <si>
    <t>30-60</t>
  </si>
  <si>
    <t>60-120</t>
  </si>
  <si>
    <t>120-180</t>
  </si>
  <si>
    <t>180-240</t>
  </si>
  <si>
    <t>240-300</t>
  </si>
  <si>
    <t>300+</t>
  </si>
  <si>
    <t>0-60</t>
  </si>
  <si>
    <t>% do total de rides</t>
  </si>
  <si>
    <t># Total</t>
  </si>
  <si>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</si>
  <si>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</si>
  <si>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</si>
  <si>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</si>
  <si>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</si>
  <si>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</si>
  <si>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</si>
  <si>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</si>
  <si>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</si>
  <si>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</si>
  <si>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</si>
  <si>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</si>
  <si>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</si>
  <si>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August - Casual</t>
  </si>
  <si>
    <t>August - Member</t>
  </si>
  <si>
    <t>September - Casual</t>
  </si>
  <si>
    <t>September - Member</t>
  </si>
  <si>
    <t>October - Casual</t>
  </si>
  <si>
    <t>November- Casual</t>
  </si>
  <si>
    <t>December - Casual</t>
  </si>
  <si>
    <t>January - Casual</t>
  </si>
  <si>
    <t>February - Casual</t>
  </si>
  <si>
    <t>March - Casual</t>
  </si>
  <si>
    <t>April - Casual</t>
  </si>
  <si>
    <t>May - Casual</t>
  </si>
  <si>
    <t>June - Casual</t>
  </si>
  <si>
    <t>July - Casual</t>
  </si>
  <si>
    <t>January - Member</t>
  </si>
  <si>
    <t>February - Member</t>
  </si>
  <si>
    <t>March - Member</t>
  </si>
  <si>
    <t>April - Member</t>
  </si>
  <si>
    <t>May - Member</t>
  </si>
  <si>
    <t>June - Member</t>
  </si>
  <si>
    <t>July - Member</t>
  </si>
  <si>
    <t>---  Starting Cyclistic Rides Duration Distribution v0.2  ----</t>
  </si>
  <si>
    <t>202508-divvy-tripdata.csv</t>
  </si>
  <si>
    <t>┌───────────────┬───────────────┬────────────┬────────────────────┬────────┬────────┬────────┐</t>
  </si>
  <si>
    <t>│ member_casual │ rideable_type │ ride_count │        mean        │ median │  p25   │  p75   │</t>
  </si>
  <si>
    <t>│    varchar    │    varchar    │   int64    │       double       │ double │ double │ double │</t>
  </si>
  <si>
    <t>├───────────────┼───────────────┼────────────┼────────────────────┼────────┼────────┼────────┤</t>
  </si>
  <si>
    <t>│ casual        │ classic_bike  │     118087 │ 2294.4293275297027 │ 1070.0 │  598.0 │ 2026.0 │</t>
  </si>
  <si>
    <t>│ casual        │ electric_bike │     219651 │  937.2481117773194 │  653.0 │  365.0 │ 1148.0 │</t>
  </si>
  <si>
    <t>│ member        │ classic_bike  │     162894 │  897.3052414453571 │  603.0 │  349.0 │ 1067.0 │</t>
  </si>
  <si>
    <t>│ member        │ electric_bike │     289545 │  723.2960990519608 │  551.0 │  323.0 │  908.0 │</t>
  </si>
  <si>
    <t>└───────────────┴───────────────┴────────────┴────────────────────┴────────┴────────┴────────┘</t>
  </si>
  <si>
    <t>202509-divvy-tripdata.csv</t>
  </si>
  <si>
    <t>┌───────────────┬───────────────┬────────────┬───────────────────┬────────┬────────┬────────┐</t>
  </si>
  <si>
    <t>│ member_casual │ rideable_type │ ride_count │       mean        │ median │  p25   │  p75   │</t>
  </si>
  <si>
    <t>│    varchar    │    varchar    │   int64    │      double       │ double │ double │ double │</t>
  </si>
  <si>
    <t>├───────────────┼───────────────┼────────────┼───────────────────┼────────┼────────┼────────┤</t>
  </si>
  <si>
    <t>│ casual        │ classic_bike  │      81295 │ 2308.985374254259 │  984.0 │  549.0 │ 1888.0 │</t>
  </si>
  <si>
    <t>│ casual        │ electric_bike │     184166 │ 864.4096358719851 │  598.0 │  342.0 │ 1049.0 │</t>
  </si>
  <si>
    <t>│ member        │ classic_bike  │     158034 │ 873.4538959970639 │  578.0 │  340.0 │ 1030.0 │</t>
  </si>
  <si>
    <t>│ member        │ electric_bike │     291264 │  699.137126455724 │  533.0 │  314.0 │  875.0 │</t>
  </si>
  <si>
    <t>└───────────────┴───────────────┴────────────┴───────────────────┴────────┴────────┴────────┘</t>
  </si>
  <si>
    <t>202510-divvy-tripdata.csv</t>
  </si>
  <si>
    <t>│ casual        │ classic_bike  │      66625 │ 2300.8617636022514 │  910.0 │  503.0 │ 1761.0 │</t>
  </si>
  <si>
    <t>│ casual        │ electric_bike │     157385 │  773.2007561076341 │  531.0 │  303.0 │  935.0 │</t>
  </si>
  <si>
    <t>│ member        │ classic_bike  │     143303 │  915.1299693656099 │  533.0 │  314.0 │  939.0 │</t>
  </si>
  <si>
    <t>│ member        │ electric_bike │     278726 │  653.2308180794041 │  492.0 │  289.0 │  817.0 │</t>
  </si>
  <si>
    <t>202511-divvy-tripdata.csv</t>
  </si>
  <si>
    <t>│ casual        │ classic_bike  │      27304 │ 2251.8068414884265 │  750.0 │  430.0 │ 1432.0 │</t>
  </si>
  <si>
    <t>│ casual        │ electric_bike │      71836 │  654.4008296675761 │  455.0 │  270.0 │  784.0 │</t>
  </si>
  <si>
    <t>│ member        │ classic_bike  │      88146 │  956.6686179747237 │  495.0 │  297.0 │  867.0 │</t>
  </si>
  <si>
    <t>│ member        │ electric_bike │     169313 │  610.6897284910195 │  451.0 │  270.0 │  749.0 │</t>
  </si>
  <si>
    <t>202512-divvy-tripdata.csv</t>
  </si>
  <si>
    <t>│ casual        │ classic_bike  │       7037 │  2383.95154185022 │  629.0 │  377.0 │ 1144.0 │</t>
  </si>
  <si>
    <t>│ casual        │ electric_bike │      21043 │ 561.9029606044766 │  403.0 │  254.0 │  673.0 │</t>
  </si>
  <si>
    <t>│ member        │ classic_bike  │      37823 │ 961.8036644369828 │  482.0 │  295.0 │  821.0 │</t>
  </si>
  <si>
    <t>│ member        │ electric_bike │      74631 │ 587.2331470836516 │  416.0 │  254.0 │  688.0 │</t>
  </si>
  <si>
    <t>202601-divvy-tripdata.csv</t>
  </si>
  <si>
    <t>┌───────────────┬───────────────┬────────────┬────────────────────┬────────┬────────┬─────────┐</t>
  </si>
  <si>
    <t>│ member_casual │ rideable_type │ ride_count │        mean        │ median │  p25   │   p75   │</t>
  </si>
  <si>
    <t>│    varchar    │    varchar    │   int64    │       double       │ double │ double │ double  │</t>
  </si>
  <si>
    <t>├───────────────┼───────────────┼────────────┼────────────────────┼────────┼────────┼─────────┤</t>
  </si>
  <si>
    <t>│ casual        │ classic_bike  │       5908 │ 2796.3393703452944 │  568.0 │  343.0 │ 1030.25 │</t>
  </si>
  <si>
    <t>│ casual        │ electric_bike │      18841 │  524.8336075579853 │  383.0 │  242.0 │   627.0 │</t>
  </si>
  <si>
    <t>│ member        │ classic_bike  │      38065 │  1167.362511493498 │  464.0 │  281.0 │   804.0 │</t>
  </si>
  <si>
    <t>│ member        │ electric_bike │      74973 │  556.9864751310472 │  401.0 │  246.0 │   665.0 │</t>
  </si>
  <si>
    <t>└───────────────┴───────────────┴────────────┴────────────────────┴────────┴────────┴─────────┘</t>
  </si>
  <si>
    <t>202602-divvy-tripdata.csv</t>
  </si>
  <si>
    <t>│ casual        │ classic_bike  │      11619 │ 2018.4582149926844 │  697.0 │  397.0 │ 1374.0 │</t>
  </si>
  <si>
    <t>│ casual        │ electric_bike │      29554 │  618.3863436421466 │  421.0 │  259.0 │  723.0 │</t>
  </si>
  <si>
    <t>│ member        │ classic_bike  │      55271 │  771.4111559407285 │  475.0 │  280.0 │  832.0 │</t>
  </si>
  <si>
    <t>│ member        │ electric_bike │     105006 │  588.7951736091271 │  420.0 │  253.0 │  700.0 │</t>
  </si>
  <si>
    <t>202603-divvy-tripdata.csv</t>
  </si>
  <si>
    <t>│ casual        │ classic_bike  │      23889 │ 2424.0103813470637 │  869.0 │  477.0 │ 1701.0 │</t>
  </si>
  <si>
    <t>│ casual        │ electric_bike │      63967 │  751.5742961214377 │  498.0 │  286.0 │  896.0 │</t>
  </si>
  <si>
    <t>│ member        │ classic_bike  │      72213 │  835.1740129893509 │  510.0 │  296.0 │  930.0 │</t>
  </si>
  <si>
    <t>│ member        │ electric_bike │     156968 │  611.8588374700576 │  441.0 │  262.0 │  740.0 │</t>
  </si>
  <si>
    <t>202604-divvy-tripdata.csv</t>
  </si>
  <si>
    <t>│ casual        │ classic_bike  │      34015 │ 2349.1391738938705 │  876.0 │  489.0 │ 1744.5 │</t>
  </si>
  <si>
    <t>│ casual        │ electric_bike │      97499 │   754.102760028308 │  513.0 │  297.0 │  901.0 │</t>
  </si>
  <si>
    <t>│ member        │ classic_bike  │      99323 │  851.9991744107608 │  531.0 │  305.0 │  963.0 │</t>
  </si>
  <si>
    <t>│ member        │ electric_bike │     217415 │  620.5155256077088 │  458.0 │  268.0 │  769.0 │</t>
  </si>
  <si>
    <t>202605-divvy-tripdata.csv</t>
  </si>
  <si>
    <t>│ casual        │ classic_bike  │      66392 │ 2491.1077539462585 │ 1035.0 │  561.0 │ 1985.0 │</t>
  </si>
  <si>
    <t>│ casual        │ electric_bike │     178713 │  875.0520219569925 │  595.0 │  332.0 │ 1060.0 │</t>
  </si>
  <si>
    <t>│ member        │ classic_bike  │     129570 │  919.5563324843714 │  576.0 │  325.0 │ 1046.0 │</t>
  </si>
  <si>
    <t>│ member        │ electric_bike │     279029 │  672.5127639062606 │  499.0 │  290.0 │  834.0 │</t>
  </si>
  <si>
    <t>202606-divvy-tripdata.csv</t>
  </si>
  <si>
    <t>│ casual        │ classic_bike  │      83198 │ 2401.0045073198876 │ 1011.0 │  569.0 │ 1871.0 │</t>
  </si>
  <si>
    <t>│ casual        │ electric_bike │     225264 │  898.7254776617657 │  636.0 │  364.0 │ 1095.0 │</t>
  </si>
  <si>
    <t>│ member        │ classic_bike  │     144598 │  911.2844022738904 │  601.0 │  344.0 │ 1073.0 │</t>
  </si>
  <si>
    <t>│ member        │ electric_bike │     309490 │  703.3484280590649 │  539.0 │  317.0 │  887.0 │</t>
  </si>
  <si>
    <t>202607-divvy-tripdata.csv</t>
  </si>
  <si>
    <t>│ casual        │ classic_bike  │      86938 │ 2479.4122593112334 │ 1008.0 │  564.0 │ 1921.0 │</t>
  </si>
  <si>
    <t>│ casual        │ electric_bike │     270818 │  884.1964234282802 │  626.0 │  362.0 │ 1070.0 │</t>
  </si>
  <si>
    <t>│ member        │ classic_bike  │     149678 │   920.889035128743 │  593.0 │  341.0 │ 1052.0 │</t>
  </si>
  <si>
    <t>│ member        │ electric_bike │     361617 │  696.4306517669247 │  535.0 │  316.0 │  872.0 │</t>
  </si>
  <si>
    <t>---  Ending Cyclistic Rides Duration Distribution v0.2  ----</t>
  </si>
  <si>
    <t>---  Starting Cyclistic Rides Duration Distribution v0.1  ----</t>
  </si>
  <si>
    <t>│ casual        │ classic_bike  │     612307 │ 2365.962322821722 │  967.0 │  534.0 │ 1850.0 │</t>
  </si>
  <si>
    <t>│ casual        │ electric_bike │    1538737 │ 840.7158507269273 │  580.0 │  328.0 │ 1020.0 │</t>
  </si>
  <si>
    <t>│ member        │ classic_bike  │    1278918 │ 904.5194727105256 │  554.0 │  321.0 │  990.0 │</t>
  </si>
  <si>
    <t>│ member        │ electric_bike │    2607977 │ 664.9080152930796 │  497.0 │  292.0 │  827.0 │</t>
  </si>
  <si>
    <t>---  Ending Cyclistic Rides Duration Distribution v0.1  -</t>
  </si>
  <si>
    <t>Ride Distribution - LONG</t>
  </si>
  <si>
    <t>OVERALL</t>
  </si>
  <si>
    <t>classic_bike</t>
  </si>
  <si>
    <t>electric_bike</t>
  </si>
  <si>
    <t>ride_count</t>
  </si>
  <si>
    <t>mean (AVG)</t>
  </si>
  <si>
    <t>p25</t>
  </si>
  <si>
    <t>p75</t>
  </si>
  <si>
    <t>median (p50)</t>
  </si>
  <si>
    <t>MONTH BY MONTH</t>
  </si>
  <si>
    <t xml:space="preserve"> Time in minutes</t>
  </si>
  <si>
    <t>overall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</si>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</sst>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166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/>
    <xf numFmtId="17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D14D-7B1B-4D93-B67B-C58D25A9C031}">
  <dimension ref="A1:U51"/>
  <sheetViews>
    <sheetView topLeftCell="A4" workbookViewId="0">
      <selection activeCell="E33" sqref="E33"/>
    </sheetView>
  </sheetViews>
  <sheetFormatPr defaultRowHeight="14.5" x14ac:dyDescent="0.35"/>
  <cols>
    <col min="1" max="1" width="11.26953125" customWidth="1"/>
    <col min="7" max="7" width="16.7265625" customWidth="1"/>
  </cols>
  <sheetData>
    <row r="1" spans="1:21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3" spans="1:21" x14ac:dyDescent="0.35">
      <c r="A3" t="s">
        <v>0</v>
      </c>
    </row>
    <row r="4" spans="1:21" x14ac:dyDescent="0.35">
      <c r="A4" t="s">
        <v>1</v>
      </c>
      <c r="B4" t="s">
        <v>3</v>
      </c>
      <c r="D4" t="s">
        <v>8</v>
      </c>
      <c r="E4" t="s">
        <v>7</v>
      </c>
      <c r="G4" t="s">
        <v>11</v>
      </c>
    </row>
    <row r="5" spans="1:21" x14ac:dyDescent="0.35">
      <c r="A5" t="s">
        <v>2</v>
      </c>
      <c r="B5">
        <v>6037968</v>
      </c>
      <c r="D5" t="s">
        <v>3</v>
      </c>
      <c r="E5">
        <v>6037968</v>
      </c>
      <c r="G5" t="s">
        <v>12</v>
      </c>
      <c r="H5">
        <v>612312</v>
      </c>
    </row>
    <row r="6" spans="1:21" x14ac:dyDescent="0.35">
      <c r="A6" t="s">
        <v>4</v>
      </c>
      <c r="B6">
        <v>1891237</v>
      </c>
      <c r="D6" t="s">
        <v>9</v>
      </c>
      <c r="E6">
        <v>3886915</v>
      </c>
      <c r="G6" t="s">
        <v>13</v>
      </c>
      <c r="H6">
        <v>1538741</v>
      </c>
    </row>
    <row r="7" spans="1:21" x14ac:dyDescent="0.35">
      <c r="A7" t="s">
        <v>5</v>
      </c>
      <c r="B7">
        <v>4146731</v>
      </c>
      <c r="D7" t="s">
        <v>10</v>
      </c>
      <c r="E7">
        <v>2151053</v>
      </c>
      <c r="G7" t="s">
        <v>14</v>
      </c>
      <c r="H7">
        <v>1278925</v>
      </c>
    </row>
    <row r="8" spans="1:21" x14ac:dyDescent="0.35">
      <c r="G8" t="s">
        <v>15</v>
      </c>
      <c r="H8">
        <v>2607990</v>
      </c>
    </row>
    <row r="12" spans="1:21" x14ac:dyDescent="0.35">
      <c r="A12" t="s">
        <v>16</v>
      </c>
      <c r="B12" s="4" t="s">
        <v>33</v>
      </c>
      <c r="C12" s="4" t="s">
        <v>22</v>
      </c>
      <c r="D12" s="4" t="s">
        <v>32</v>
      </c>
      <c r="H12" t="s">
        <v>19</v>
      </c>
      <c r="I12" t="s">
        <v>22</v>
      </c>
      <c r="J12" t="s">
        <v>21</v>
      </c>
      <c r="K12" t="s">
        <v>22</v>
      </c>
      <c r="L12" t="s">
        <v>20</v>
      </c>
      <c r="M12" t="s">
        <v>22</v>
      </c>
      <c r="N12" t="s">
        <v>23</v>
      </c>
      <c r="O12" t="s">
        <v>22</v>
      </c>
      <c r="P12" t="s">
        <v>24</v>
      </c>
      <c r="Q12" t="s">
        <v>22</v>
      </c>
      <c r="R12" t="s">
        <v>31</v>
      </c>
      <c r="S12" t="s">
        <v>22</v>
      </c>
      <c r="T12" t="s">
        <v>26</v>
      </c>
      <c r="U12" t="s">
        <v>22</v>
      </c>
    </row>
    <row r="13" spans="1:21" x14ac:dyDescent="0.35">
      <c r="A13" s="2" t="s">
        <v>18</v>
      </c>
      <c r="B13" s="2">
        <v>29</v>
      </c>
      <c r="C13" s="1"/>
      <c r="G13" s="4" t="s">
        <v>47</v>
      </c>
      <c r="J13" s="4"/>
      <c r="K13" s="4"/>
      <c r="L13" s="4"/>
      <c r="M13" s="4"/>
      <c r="N13" s="4"/>
      <c r="O13" s="4"/>
      <c r="P13" s="4"/>
      <c r="Q13" s="4"/>
      <c r="R13" s="4"/>
    </row>
    <row r="14" spans="1:21" x14ac:dyDescent="0.35">
      <c r="A14" s="2" t="s">
        <v>19</v>
      </c>
      <c r="B14" s="2">
        <f>SUM(B15:B16)</f>
        <v>160902</v>
      </c>
      <c r="C14" s="1"/>
      <c r="D14" s="3">
        <f>B14/B5</f>
        <v>2.6648369120207328E-2</v>
      </c>
      <c r="G14" s="4" t="s">
        <v>48</v>
      </c>
    </row>
    <row r="15" spans="1:21" x14ac:dyDescent="0.35">
      <c r="A15" t="s">
        <v>17</v>
      </c>
      <c r="B15">
        <v>77823</v>
      </c>
      <c r="C15" s="1">
        <f>B15/B14</f>
        <v>0.48366707685423427</v>
      </c>
      <c r="G15" s="4" t="s">
        <v>49</v>
      </c>
    </row>
    <row r="16" spans="1:21" x14ac:dyDescent="0.35">
      <c r="A16" t="s">
        <v>6</v>
      </c>
      <c r="B16">
        <v>83079</v>
      </c>
      <c r="C16" s="1">
        <f>B16/B14</f>
        <v>0.51633292314576573</v>
      </c>
      <c r="G16" s="4" t="s">
        <v>50</v>
      </c>
    </row>
    <row r="17" spans="1:7" x14ac:dyDescent="0.35">
      <c r="A17" s="2" t="s">
        <v>21</v>
      </c>
      <c r="B17" s="2">
        <f>SUM(B18:B19)</f>
        <v>290835</v>
      </c>
      <c r="C17" s="1"/>
      <c r="D17" s="3">
        <f>B17/B5</f>
        <v>4.81676948271339E-2</v>
      </c>
      <c r="G17" s="4" t="s">
        <v>51</v>
      </c>
    </row>
    <row r="18" spans="1:7" x14ac:dyDescent="0.35">
      <c r="A18" t="s">
        <v>17</v>
      </c>
      <c r="B18">
        <v>112840</v>
      </c>
      <c r="C18" s="1">
        <f>B18/B17</f>
        <v>0.38798631526466898</v>
      </c>
      <c r="G18" s="4" t="s">
        <v>51</v>
      </c>
    </row>
    <row r="19" spans="1:7" x14ac:dyDescent="0.35">
      <c r="A19" t="s">
        <v>6</v>
      </c>
      <c r="B19">
        <v>177995</v>
      </c>
      <c r="C19" s="1">
        <f>B19/B17</f>
        <v>0.61201368473533102</v>
      </c>
      <c r="G19" s="4" t="s">
        <v>52</v>
      </c>
    </row>
    <row r="20" spans="1:7" x14ac:dyDescent="0.35">
      <c r="A20" s="2" t="s">
        <v>20</v>
      </c>
      <c r="B20" s="2">
        <f>SUM(B21:B22)</f>
        <v>1357883</v>
      </c>
      <c r="C20" s="1"/>
      <c r="G20" s="4" t="s">
        <v>52</v>
      </c>
    </row>
    <row r="21" spans="1:7" x14ac:dyDescent="0.35">
      <c r="A21" t="s">
        <v>17</v>
      </c>
      <c r="B21">
        <v>391704</v>
      </c>
      <c r="C21" s="1">
        <f>B21/B20</f>
        <v>0.28846667938253884</v>
      </c>
      <c r="G21" s="4" t="s">
        <v>53</v>
      </c>
    </row>
    <row r="22" spans="1:7" x14ac:dyDescent="0.35">
      <c r="A22" t="s">
        <v>6</v>
      </c>
      <c r="B22">
        <v>966179</v>
      </c>
      <c r="C22" s="1">
        <f>B22/B20</f>
        <v>0.71153332061746111</v>
      </c>
      <c r="G22" s="4" t="s">
        <v>53</v>
      </c>
    </row>
    <row r="23" spans="1:7" x14ac:dyDescent="0.35">
      <c r="A23" s="2" t="s">
        <v>23</v>
      </c>
      <c r="B23" s="2">
        <f>SUM(B24:B25)</f>
        <v>3221388</v>
      </c>
      <c r="C23" s="1"/>
      <c r="D23" s="3">
        <f>B23/B5</f>
        <v>0.53352187358396075</v>
      </c>
      <c r="G23" s="4" t="s">
        <v>54</v>
      </c>
    </row>
    <row r="24" spans="1:7" x14ac:dyDescent="0.35">
      <c r="A24" t="s">
        <v>17</v>
      </c>
      <c r="B24">
        <v>975665</v>
      </c>
      <c r="C24" s="1">
        <f>B24/B23</f>
        <v>0.30287099846401611</v>
      </c>
      <c r="G24" s="4" t="s">
        <v>61</v>
      </c>
    </row>
    <row r="25" spans="1:7" x14ac:dyDescent="0.35">
      <c r="A25" t="s">
        <v>6</v>
      </c>
      <c r="B25">
        <v>2245723</v>
      </c>
      <c r="C25" s="1">
        <f>B25/B23</f>
        <v>0.69712900153598389</v>
      </c>
      <c r="G25" s="4" t="s">
        <v>55</v>
      </c>
    </row>
    <row r="26" spans="1:7" x14ac:dyDescent="0.35">
      <c r="A26" s="2" t="s">
        <v>24</v>
      </c>
      <c r="B26" s="2">
        <f>SUM(B27:B28)</f>
        <v>5525824</v>
      </c>
      <c r="C26" s="1"/>
      <c r="D26" s="3">
        <f>B26/B5</f>
        <v>0.9151794113516335</v>
      </c>
      <c r="G26" s="4" t="s">
        <v>62</v>
      </c>
    </row>
    <row r="27" spans="1:7" x14ac:dyDescent="0.35">
      <c r="A27" t="s">
        <v>17</v>
      </c>
      <c r="B27">
        <v>1850021</v>
      </c>
      <c r="C27" s="1">
        <f>B27/B26</f>
        <v>0.33479549837273137</v>
      </c>
      <c r="G27" s="4" t="s">
        <v>56</v>
      </c>
    </row>
    <row r="28" spans="1:7" x14ac:dyDescent="0.35">
      <c r="A28" t="s">
        <v>6</v>
      </c>
      <c r="B28">
        <v>3675803</v>
      </c>
      <c r="C28" s="1">
        <f>B28/B26</f>
        <v>0.66520450162726863</v>
      </c>
      <c r="G28" s="4" t="s">
        <v>63</v>
      </c>
    </row>
    <row r="29" spans="1:7" x14ac:dyDescent="0.35">
      <c r="A29" s="2" t="s">
        <v>31</v>
      </c>
      <c r="B29" s="2">
        <f>SUM(B30:B31)</f>
        <v>5918061</v>
      </c>
      <c r="C29" s="1"/>
      <c r="D29" s="3">
        <f>B29/B5</f>
        <v>0.98014116669714046</v>
      </c>
      <c r="G29" s="4" t="s">
        <v>57</v>
      </c>
    </row>
    <row r="30" spans="1:7" x14ac:dyDescent="0.35">
      <c r="A30" t="s">
        <v>17</v>
      </c>
      <c r="B30">
        <v>2057538</v>
      </c>
      <c r="C30" s="1">
        <f>B30/B29</f>
        <v>0.34767096858244617</v>
      </c>
      <c r="G30" s="4" t="s">
        <v>64</v>
      </c>
    </row>
    <row r="31" spans="1:7" x14ac:dyDescent="0.35">
      <c r="A31" t="s">
        <v>6</v>
      </c>
      <c r="B31">
        <v>3860523</v>
      </c>
      <c r="C31" s="1">
        <f>B31/B29</f>
        <v>0.65232903141755383</v>
      </c>
      <c r="G31" s="4" t="s">
        <v>58</v>
      </c>
    </row>
    <row r="32" spans="1:7" x14ac:dyDescent="0.35">
      <c r="A32" s="2" t="s">
        <v>25</v>
      </c>
      <c r="B32" s="2">
        <f>SUM(B33:B34)</f>
        <v>392237</v>
      </c>
      <c r="C32" s="1"/>
      <c r="G32" s="4" t="s">
        <v>65</v>
      </c>
    </row>
    <row r="33" spans="1:7" x14ac:dyDescent="0.35">
      <c r="A33" t="s">
        <v>17</v>
      </c>
      <c r="B33">
        <v>207517</v>
      </c>
      <c r="C33" s="1">
        <f>B33/B32</f>
        <v>0.52906023654066292</v>
      </c>
      <c r="G33" s="4" t="s">
        <v>59</v>
      </c>
    </row>
    <row r="34" spans="1:7" x14ac:dyDescent="0.35">
      <c r="A34" t="s">
        <v>6</v>
      </c>
      <c r="B34">
        <v>184720</v>
      </c>
      <c r="C34" s="1">
        <f>B34/B32</f>
        <v>0.47093976345933708</v>
      </c>
      <c r="G34" s="4" t="s">
        <v>66</v>
      </c>
    </row>
    <row r="35" spans="1:7" x14ac:dyDescent="0.35">
      <c r="A35" s="2" t="s">
        <v>26</v>
      </c>
      <c r="B35" s="2">
        <f>SUM(B36:B37)</f>
        <v>88553</v>
      </c>
      <c r="C35" s="1"/>
      <c r="D35" s="3">
        <f>B35/B5</f>
        <v>1.4666026716272759E-2</v>
      </c>
      <c r="G35" s="4" t="s">
        <v>60</v>
      </c>
    </row>
    <row r="36" spans="1:7" x14ac:dyDescent="0.35">
      <c r="A36" t="s">
        <v>17</v>
      </c>
      <c r="B36">
        <v>70440</v>
      </c>
      <c r="C36" s="1">
        <f>B36/B35</f>
        <v>0.79545582871274834</v>
      </c>
      <c r="G36" s="4" t="s">
        <v>67</v>
      </c>
    </row>
    <row r="37" spans="1:7" x14ac:dyDescent="0.35">
      <c r="A37" t="s">
        <v>6</v>
      </c>
      <c r="B37">
        <v>18113</v>
      </c>
      <c r="C37" s="1">
        <f>B37/B35</f>
        <v>0.20454417128725169</v>
      </c>
    </row>
    <row r="38" spans="1:7" x14ac:dyDescent="0.35">
      <c r="A38" s="2" t="s">
        <v>27</v>
      </c>
      <c r="B38" s="2">
        <f>SUM(B39:B40)</f>
        <v>15420</v>
      </c>
      <c r="C38" s="1"/>
      <c r="D38" s="3">
        <f>B38/B5</f>
        <v>2.5538393048787273E-3</v>
      </c>
    </row>
    <row r="39" spans="1:7" x14ac:dyDescent="0.35">
      <c r="A39" t="s">
        <v>17</v>
      </c>
      <c r="B39">
        <v>12434</v>
      </c>
      <c r="C39" s="1">
        <f>B39/B38</f>
        <v>0.80635538261997408</v>
      </c>
    </row>
    <row r="40" spans="1:7" x14ac:dyDescent="0.35">
      <c r="A40" t="s">
        <v>6</v>
      </c>
      <c r="B40">
        <v>2986</v>
      </c>
      <c r="C40" s="1">
        <f>B40/B38</f>
        <v>0.19364461738002595</v>
      </c>
    </row>
    <row r="41" spans="1:7" x14ac:dyDescent="0.35">
      <c r="A41" s="2" t="s">
        <v>28</v>
      </c>
      <c r="B41" s="2">
        <f>SUM(B42:B43)</f>
        <v>3963</v>
      </c>
      <c r="C41" s="1"/>
      <c r="D41" s="3">
        <f>B41/B5</f>
        <v>6.5634663847175076E-4</v>
      </c>
    </row>
    <row r="42" spans="1:7" x14ac:dyDescent="0.35">
      <c r="A42" t="s">
        <v>17</v>
      </c>
      <c r="B42">
        <v>2465</v>
      </c>
      <c r="C42" s="1">
        <f>B42/B41</f>
        <v>0.62200353267726471</v>
      </c>
    </row>
    <row r="43" spans="1:7" x14ac:dyDescent="0.35">
      <c r="A43" t="s">
        <v>6</v>
      </c>
      <c r="B43">
        <v>1498</v>
      </c>
      <c r="C43" s="1">
        <f>B43/B41</f>
        <v>0.37799646732273529</v>
      </c>
    </row>
    <row r="44" spans="1:7" x14ac:dyDescent="0.35">
      <c r="A44" s="2" t="s">
        <v>29</v>
      </c>
      <c r="B44" s="2">
        <f>SUM(B45:B46)</f>
        <v>1631</v>
      </c>
      <c r="C44" s="1"/>
      <c r="D44" s="3">
        <f>B44/$B$5</f>
        <v>2.7012398873263324E-4</v>
      </c>
    </row>
    <row r="45" spans="1:7" x14ac:dyDescent="0.35">
      <c r="A45" t="s">
        <v>17</v>
      </c>
      <c r="B45">
        <v>815</v>
      </c>
      <c r="C45" s="1">
        <f>B45/B44</f>
        <v>0.49969343960760271</v>
      </c>
    </row>
    <row r="46" spans="1:7" x14ac:dyDescent="0.35">
      <c r="A46" t="s">
        <v>6</v>
      </c>
      <c r="B46">
        <v>816</v>
      </c>
      <c r="C46" s="1">
        <f>B46/B44</f>
        <v>0.50030656039239729</v>
      </c>
    </row>
    <row r="47" spans="1:7" x14ac:dyDescent="0.35">
      <c r="A47" s="2" t="s">
        <v>30</v>
      </c>
      <c r="B47" s="2">
        <f>SUM(B48:B49)</f>
        <v>10311</v>
      </c>
      <c r="C47" s="1"/>
      <c r="D47" s="3">
        <f>B47/$B$5</f>
        <v>1.7076937141766899E-3</v>
      </c>
    </row>
    <row r="48" spans="1:7" x14ac:dyDescent="0.35">
      <c r="A48" t="s">
        <v>17</v>
      </c>
      <c r="B48">
        <v>7352</v>
      </c>
      <c r="C48" s="1">
        <f>B48/B47</f>
        <v>0.71302492483755209</v>
      </c>
    </row>
    <row r="49" spans="1:4" x14ac:dyDescent="0.35">
      <c r="A49" t="s">
        <v>6</v>
      </c>
      <c r="B49">
        <v>2959</v>
      </c>
      <c r="C49" s="1">
        <f>B49/B47</f>
        <v>0.28697507516244786</v>
      </c>
    </row>
    <row r="51" spans="1:4" x14ac:dyDescent="0.35">
      <c r="D51" s="5">
        <f>SUM(D29:D49)</f>
        <v>0.99999519705967299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9791-523D-4355-B285-A296A64EDF95}">
  <dimension ref="A1:K148"/>
  <sheetViews>
    <sheetView topLeftCell="A50" workbookViewId="0">
      <selection activeCell="A16" sqref="A16:A146"/>
    </sheetView>
  </sheetViews>
  <sheetFormatPr defaultRowHeight="14.5" x14ac:dyDescent="0.35"/>
  <cols>
    <col min="1" max="2" width="8.7265625" customWidth="1"/>
  </cols>
  <sheetData>
    <row r="1" spans="1:11" x14ac:dyDescent="0.35">
      <c r="A1" s="7" t="s">
        <v>145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t="s">
        <v>80</v>
      </c>
    </row>
    <row r="3" spans="1:11" x14ac:dyDescent="0.35">
      <c r="A3" t="s">
        <v>81</v>
      </c>
    </row>
    <row r="4" spans="1:11" x14ac:dyDescent="0.35">
      <c r="A4" t="s">
        <v>82</v>
      </c>
    </row>
    <row r="5" spans="1:11" x14ac:dyDescent="0.35">
      <c r="A5" t="s">
        <v>83</v>
      </c>
    </row>
    <row r="6" spans="1:11" x14ac:dyDescent="0.35">
      <c r="A6" t="s">
        <v>146</v>
      </c>
    </row>
    <row r="7" spans="1:11" x14ac:dyDescent="0.35">
      <c r="A7" t="s">
        <v>147</v>
      </c>
    </row>
    <row r="8" spans="1:11" x14ac:dyDescent="0.35">
      <c r="A8" t="s">
        <v>148</v>
      </c>
    </row>
    <row r="9" spans="1:11" x14ac:dyDescent="0.35">
      <c r="A9" t="s">
        <v>149</v>
      </c>
    </row>
    <row r="10" spans="1:11" x14ac:dyDescent="0.35">
      <c r="A10" t="s">
        <v>88</v>
      </c>
    </row>
    <row r="12" spans="1:11" x14ac:dyDescent="0.35">
      <c r="A12" s="7" t="s">
        <v>150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5" spans="1:11" x14ac:dyDescent="0.35">
      <c r="A15" s="6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5">
      <c r="A16" t="s">
        <v>69</v>
      </c>
    </row>
    <row r="17" spans="1:1" x14ac:dyDescent="0.35">
      <c r="A17" t="s">
        <v>70</v>
      </c>
    </row>
    <row r="18" spans="1:1" x14ac:dyDescent="0.35">
      <c r="A18" t="s">
        <v>71</v>
      </c>
    </row>
    <row r="19" spans="1:1" x14ac:dyDescent="0.35">
      <c r="A19" t="s">
        <v>72</v>
      </c>
    </row>
    <row r="20" spans="1:1" x14ac:dyDescent="0.35">
      <c r="A20" t="s">
        <v>73</v>
      </c>
    </row>
    <row r="21" spans="1:1" x14ac:dyDescent="0.35">
      <c r="A21" t="s">
        <v>74</v>
      </c>
    </row>
    <row r="22" spans="1:1" x14ac:dyDescent="0.35">
      <c r="A22" t="s">
        <v>75</v>
      </c>
    </row>
    <row r="23" spans="1:1" x14ac:dyDescent="0.35">
      <c r="A23" t="s">
        <v>76</v>
      </c>
    </row>
    <row r="24" spans="1:1" x14ac:dyDescent="0.35">
      <c r="A24" t="s">
        <v>77</v>
      </c>
    </row>
    <row r="25" spans="1:1" x14ac:dyDescent="0.35">
      <c r="A25" t="s">
        <v>78</v>
      </c>
    </row>
    <row r="27" spans="1:1" x14ac:dyDescent="0.35">
      <c r="A27" t="s">
        <v>79</v>
      </c>
    </row>
    <row r="28" spans="1:1" x14ac:dyDescent="0.35">
      <c r="A28" t="s">
        <v>80</v>
      </c>
    </row>
    <row r="29" spans="1:1" x14ac:dyDescent="0.35">
      <c r="A29" t="s">
        <v>81</v>
      </c>
    </row>
    <row r="30" spans="1:1" x14ac:dyDescent="0.35">
      <c r="A30" t="s">
        <v>82</v>
      </c>
    </row>
    <row r="31" spans="1:1" x14ac:dyDescent="0.35">
      <c r="A31" t="s">
        <v>83</v>
      </c>
    </row>
    <row r="32" spans="1:1" x14ac:dyDescent="0.35">
      <c r="A32" t="s">
        <v>84</v>
      </c>
    </row>
    <row r="33" spans="1:1" x14ac:dyDescent="0.35">
      <c r="A33" t="s">
        <v>85</v>
      </c>
    </row>
    <row r="34" spans="1:1" x14ac:dyDescent="0.35">
      <c r="A34" t="s">
        <v>86</v>
      </c>
    </row>
    <row r="35" spans="1:1" x14ac:dyDescent="0.35">
      <c r="A35" t="s">
        <v>87</v>
      </c>
    </row>
    <row r="36" spans="1:1" x14ac:dyDescent="0.35">
      <c r="A36" t="s">
        <v>88</v>
      </c>
    </row>
    <row r="38" spans="1:1" x14ac:dyDescent="0.35">
      <c r="A38" t="s">
        <v>89</v>
      </c>
    </row>
    <row r="39" spans="1:1" x14ac:dyDescent="0.35">
      <c r="A39" t="s">
        <v>70</v>
      </c>
    </row>
    <row r="40" spans="1:1" x14ac:dyDescent="0.35">
      <c r="A40" t="s">
        <v>71</v>
      </c>
    </row>
    <row r="41" spans="1:1" x14ac:dyDescent="0.35">
      <c r="A41" t="s">
        <v>72</v>
      </c>
    </row>
    <row r="42" spans="1:1" x14ac:dyDescent="0.35">
      <c r="A42" t="s">
        <v>73</v>
      </c>
    </row>
    <row r="43" spans="1:1" x14ac:dyDescent="0.35">
      <c r="A43" t="s">
        <v>90</v>
      </c>
    </row>
    <row r="44" spans="1:1" x14ac:dyDescent="0.35">
      <c r="A44" t="s">
        <v>91</v>
      </c>
    </row>
    <row r="45" spans="1:1" x14ac:dyDescent="0.35">
      <c r="A45" t="s">
        <v>92</v>
      </c>
    </row>
    <row r="46" spans="1:1" x14ac:dyDescent="0.35">
      <c r="A46" t="s">
        <v>93</v>
      </c>
    </row>
    <row r="47" spans="1:1" x14ac:dyDescent="0.35">
      <c r="A47" t="s">
        <v>78</v>
      </c>
    </row>
    <row r="49" spans="1:1" x14ac:dyDescent="0.35">
      <c r="A49" t="s">
        <v>94</v>
      </c>
    </row>
    <row r="50" spans="1:1" x14ac:dyDescent="0.35">
      <c r="A50" t="s">
        <v>70</v>
      </c>
    </row>
    <row r="51" spans="1:1" x14ac:dyDescent="0.35">
      <c r="A51" t="s">
        <v>71</v>
      </c>
    </row>
    <row r="52" spans="1:1" x14ac:dyDescent="0.35">
      <c r="A52" t="s">
        <v>72</v>
      </c>
    </row>
    <row r="53" spans="1:1" x14ac:dyDescent="0.35">
      <c r="A53" t="s">
        <v>73</v>
      </c>
    </row>
    <row r="54" spans="1:1" x14ac:dyDescent="0.35">
      <c r="A54" t="s">
        <v>95</v>
      </c>
    </row>
    <row r="55" spans="1:1" x14ac:dyDescent="0.35">
      <c r="A55" t="s">
        <v>96</v>
      </c>
    </row>
    <row r="56" spans="1:1" x14ac:dyDescent="0.35">
      <c r="A56" t="s">
        <v>97</v>
      </c>
    </row>
    <row r="57" spans="1:1" x14ac:dyDescent="0.35">
      <c r="A57" t="s">
        <v>98</v>
      </c>
    </row>
    <row r="58" spans="1:1" x14ac:dyDescent="0.35">
      <c r="A58" t="s">
        <v>78</v>
      </c>
    </row>
    <row r="60" spans="1:1" x14ac:dyDescent="0.35">
      <c r="A60" t="s">
        <v>99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100</v>
      </c>
    </row>
    <row r="66" spans="1:1" x14ac:dyDescent="0.35">
      <c r="A66" t="s">
        <v>101</v>
      </c>
    </row>
    <row r="67" spans="1:1" x14ac:dyDescent="0.35">
      <c r="A67" t="s">
        <v>102</v>
      </c>
    </row>
    <row r="68" spans="1:1" x14ac:dyDescent="0.35">
      <c r="A68" t="s">
        <v>103</v>
      </c>
    </row>
    <row r="69" spans="1:1" x14ac:dyDescent="0.35">
      <c r="A69" t="s">
        <v>88</v>
      </c>
    </row>
    <row r="71" spans="1:1" x14ac:dyDescent="0.35">
      <c r="A71" t="s">
        <v>104</v>
      </c>
    </row>
    <row r="72" spans="1:1" x14ac:dyDescent="0.35">
      <c r="A72" t="s">
        <v>105</v>
      </c>
    </row>
    <row r="73" spans="1:1" x14ac:dyDescent="0.35">
      <c r="A73" t="s">
        <v>106</v>
      </c>
    </row>
    <row r="74" spans="1:1" x14ac:dyDescent="0.35">
      <c r="A74" t="s">
        <v>107</v>
      </c>
    </row>
    <row r="75" spans="1:1" x14ac:dyDescent="0.35">
      <c r="A75" t="s">
        <v>108</v>
      </c>
    </row>
    <row r="76" spans="1:1" x14ac:dyDescent="0.35">
      <c r="A76" t="s">
        <v>109</v>
      </c>
    </row>
    <row r="77" spans="1:1" x14ac:dyDescent="0.35">
      <c r="A77" t="s">
        <v>110</v>
      </c>
    </row>
    <row r="78" spans="1:1" x14ac:dyDescent="0.35">
      <c r="A78" t="s">
        <v>111</v>
      </c>
    </row>
    <row r="79" spans="1:1" x14ac:dyDescent="0.35">
      <c r="A79" t="s">
        <v>112</v>
      </c>
    </row>
    <row r="80" spans="1:1" x14ac:dyDescent="0.35">
      <c r="A80" t="s">
        <v>113</v>
      </c>
    </row>
    <row r="82" spans="1:1" x14ac:dyDescent="0.35">
      <c r="A82" t="s">
        <v>114</v>
      </c>
    </row>
    <row r="83" spans="1:1" x14ac:dyDescent="0.35">
      <c r="A83" t="s">
        <v>70</v>
      </c>
    </row>
    <row r="84" spans="1:1" x14ac:dyDescent="0.35">
      <c r="A84" t="s">
        <v>71</v>
      </c>
    </row>
    <row r="85" spans="1:1" x14ac:dyDescent="0.35">
      <c r="A85" t="s">
        <v>72</v>
      </c>
    </row>
    <row r="86" spans="1:1" x14ac:dyDescent="0.35">
      <c r="A86" t="s">
        <v>73</v>
      </c>
    </row>
    <row r="87" spans="1:1" x14ac:dyDescent="0.35">
      <c r="A87" t="s">
        <v>115</v>
      </c>
    </row>
    <row r="88" spans="1:1" x14ac:dyDescent="0.35">
      <c r="A88" t="s">
        <v>116</v>
      </c>
    </row>
    <row r="89" spans="1:1" x14ac:dyDescent="0.35">
      <c r="A89" t="s">
        <v>117</v>
      </c>
    </row>
    <row r="90" spans="1:1" x14ac:dyDescent="0.35">
      <c r="A90" t="s">
        <v>118</v>
      </c>
    </row>
    <row r="91" spans="1:1" x14ac:dyDescent="0.35">
      <c r="A91" t="s">
        <v>78</v>
      </c>
    </row>
    <row r="93" spans="1:1" x14ac:dyDescent="0.35">
      <c r="A93" t="s">
        <v>119</v>
      </c>
    </row>
    <row r="94" spans="1:1" x14ac:dyDescent="0.35">
      <c r="A94" t="s">
        <v>70</v>
      </c>
    </row>
    <row r="95" spans="1:1" x14ac:dyDescent="0.35">
      <c r="A95" t="s">
        <v>71</v>
      </c>
    </row>
    <row r="96" spans="1:1" x14ac:dyDescent="0.35">
      <c r="A96" t="s">
        <v>72</v>
      </c>
    </row>
    <row r="97" spans="1:1" x14ac:dyDescent="0.35">
      <c r="A97" t="s">
        <v>73</v>
      </c>
    </row>
    <row r="98" spans="1:1" x14ac:dyDescent="0.35">
      <c r="A98" t="s">
        <v>120</v>
      </c>
    </row>
    <row r="99" spans="1:1" x14ac:dyDescent="0.35">
      <c r="A99" t="s">
        <v>121</v>
      </c>
    </row>
    <row r="100" spans="1:1" x14ac:dyDescent="0.35">
      <c r="A100" t="s">
        <v>122</v>
      </c>
    </row>
    <row r="101" spans="1:1" x14ac:dyDescent="0.35">
      <c r="A101" t="s">
        <v>123</v>
      </c>
    </row>
    <row r="102" spans="1:1" x14ac:dyDescent="0.35">
      <c r="A102" t="s">
        <v>78</v>
      </c>
    </row>
    <row r="104" spans="1:1" x14ac:dyDescent="0.35">
      <c r="A104" t="s">
        <v>124</v>
      </c>
    </row>
    <row r="105" spans="1:1" x14ac:dyDescent="0.35">
      <c r="A105" t="s">
        <v>70</v>
      </c>
    </row>
    <row r="106" spans="1:1" x14ac:dyDescent="0.35">
      <c r="A106" t="s">
        <v>71</v>
      </c>
    </row>
    <row r="107" spans="1:1" x14ac:dyDescent="0.35">
      <c r="A107" t="s">
        <v>72</v>
      </c>
    </row>
    <row r="108" spans="1:1" x14ac:dyDescent="0.35">
      <c r="A108" t="s">
        <v>73</v>
      </c>
    </row>
    <row r="109" spans="1:1" x14ac:dyDescent="0.35">
      <c r="A109" t="s">
        <v>125</v>
      </c>
    </row>
    <row r="110" spans="1:1" x14ac:dyDescent="0.35">
      <c r="A110" t="s">
        <v>126</v>
      </c>
    </row>
    <row r="111" spans="1:1" x14ac:dyDescent="0.35">
      <c r="A111" t="s">
        <v>127</v>
      </c>
    </row>
    <row r="112" spans="1:1" x14ac:dyDescent="0.35">
      <c r="A112" t="s">
        <v>128</v>
      </c>
    </row>
    <row r="113" spans="1:1" x14ac:dyDescent="0.35">
      <c r="A113" t="s">
        <v>78</v>
      </c>
    </row>
    <row r="115" spans="1:1" x14ac:dyDescent="0.35">
      <c r="A115" t="s">
        <v>129</v>
      </c>
    </row>
    <row r="116" spans="1:1" x14ac:dyDescent="0.35">
      <c r="A116" t="s">
        <v>70</v>
      </c>
    </row>
    <row r="117" spans="1:1" x14ac:dyDescent="0.35">
      <c r="A117" t="s">
        <v>71</v>
      </c>
    </row>
    <row r="118" spans="1:1" x14ac:dyDescent="0.35">
      <c r="A118" t="s">
        <v>72</v>
      </c>
    </row>
    <row r="119" spans="1:1" x14ac:dyDescent="0.35">
      <c r="A119" t="s">
        <v>73</v>
      </c>
    </row>
    <row r="120" spans="1:1" x14ac:dyDescent="0.35">
      <c r="A120" t="s">
        <v>130</v>
      </c>
    </row>
    <row r="121" spans="1:1" x14ac:dyDescent="0.35">
      <c r="A121" t="s">
        <v>131</v>
      </c>
    </row>
    <row r="122" spans="1:1" x14ac:dyDescent="0.35">
      <c r="A122" t="s">
        <v>132</v>
      </c>
    </row>
    <row r="123" spans="1:1" x14ac:dyDescent="0.35">
      <c r="A123" t="s">
        <v>133</v>
      </c>
    </row>
    <row r="124" spans="1:1" x14ac:dyDescent="0.35">
      <c r="A124" t="s">
        <v>78</v>
      </c>
    </row>
    <row r="126" spans="1:1" x14ac:dyDescent="0.35">
      <c r="A126" t="s">
        <v>134</v>
      </c>
    </row>
    <row r="127" spans="1:1" x14ac:dyDescent="0.35">
      <c r="A127" t="s">
        <v>70</v>
      </c>
    </row>
    <row r="128" spans="1:1" x14ac:dyDescent="0.35">
      <c r="A128" t="s">
        <v>71</v>
      </c>
    </row>
    <row r="129" spans="1:1" x14ac:dyDescent="0.35">
      <c r="A129" t="s">
        <v>72</v>
      </c>
    </row>
    <row r="130" spans="1:1" x14ac:dyDescent="0.35">
      <c r="A130" t="s">
        <v>73</v>
      </c>
    </row>
    <row r="131" spans="1:1" x14ac:dyDescent="0.35">
      <c r="A131" t="s">
        <v>135</v>
      </c>
    </row>
    <row r="132" spans="1:1" x14ac:dyDescent="0.35">
      <c r="A132" t="s">
        <v>136</v>
      </c>
    </row>
    <row r="133" spans="1:1" x14ac:dyDescent="0.35">
      <c r="A133" t="s">
        <v>137</v>
      </c>
    </row>
    <row r="134" spans="1:1" x14ac:dyDescent="0.35">
      <c r="A134" t="s">
        <v>138</v>
      </c>
    </row>
    <row r="135" spans="1:1" x14ac:dyDescent="0.35">
      <c r="A135" t="s">
        <v>78</v>
      </c>
    </row>
    <row r="137" spans="1:1" x14ac:dyDescent="0.35">
      <c r="A137" t="s">
        <v>139</v>
      </c>
    </row>
    <row r="138" spans="1:1" x14ac:dyDescent="0.35">
      <c r="A138" t="s">
        <v>70</v>
      </c>
    </row>
    <row r="139" spans="1:1" x14ac:dyDescent="0.35">
      <c r="A139" t="s">
        <v>71</v>
      </c>
    </row>
    <row r="140" spans="1:1" x14ac:dyDescent="0.35">
      <c r="A140" t="s">
        <v>72</v>
      </c>
    </row>
    <row r="141" spans="1:1" x14ac:dyDescent="0.35">
      <c r="A141" t="s">
        <v>73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78</v>
      </c>
    </row>
    <row r="148" spans="1:1" x14ac:dyDescent="0.35">
      <c r="A14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6067-8705-415F-AF85-66AAC6BC383C}">
  <dimension ref="A1:AC1048576"/>
  <sheetViews>
    <sheetView tabSelected="1" topLeftCell="A4" workbookViewId="0">
      <selection activeCell="B52" sqref="B52"/>
    </sheetView>
  </sheetViews>
  <sheetFormatPr defaultRowHeight="14.5" x14ac:dyDescent="0.35"/>
  <cols>
    <col min="1" max="1" width="20.54296875" bestFit="1" customWidth="1"/>
    <col min="2" max="2" width="20.54296875" style="14" customWidth="1"/>
    <col min="3" max="3" width="15.453125" bestFit="1" customWidth="1"/>
    <col min="4" max="6" width="16.453125" bestFit="1" customWidth="1"/>
  </cols>
  <sheetData>
    <row r="1" spans="1:29" x14ac:dyDescent="0.35">
      <c r="A1" t="s">
        <v>151</v>
      </c>
      <c r="C1" t="s">
        <v>161</v>
      </c>
    </row>
    <row r="3" spans="1:29" x14ac:dyDescent="0.35">
      <c r="C3" s="12"/>
      <c r="D3" s="12" t="s">
        <v>152</v>
      </c>
      <c r="E3" s="12"/>
      <c r="F3" s="12"/>
    </row>
    <row r="4" spans="1:29" x14ac:dyDescent="0.35">
      <c r="A4" s="11" t="s">
        <v>46</v>
      </c>
      <c r="B4" s="15"/>
      <c r="C4" s="10" t="s">
        <v>10</v>
      </c>
      <c r="D4" s="10" t="s">
        <v>10</v>
      </c>
      <c r="E4" s="10" t="s">
        <v>9</v>
      </c>
      <c r="F4" s="10" t="s">
        <v>9</v>
      </c>
      <c r="J4" t="s">
        <v>80</v>
      </c>
    </row>
    <row r="5" spans="1:29" x14ac:dyDescent="0.35">
      <c r="A5" s="2" t="s">
        <v>35</v>
      </c>
      <c r="B5" s="15" t="s">
        <v>162</v>
      </c>
      <c r="C5" s="4" t="s">
        <v>153</v>
      </c>
      <c r="D5" s="4" t="s">
        <v>154</v>
      </c>
      <c r="E5" s="4" t="s">
        <v>153</v>
      </c>
      <c r="F5" s="4" t="s">
        <v>154</v>
      </c>
      <c r="J5" t="s">
        <v>81</v>
      </c>
    </row>
    <row r="6" spans="1:29" x14ac:dyDescent="0.35">
      <c r="A6" s="2" t="s">
        <v>155</v>
      </c>
      <c r="B6" s="15" t="s">
        <v>162</v>
      </c>
      <c r="C6" s="9">
        <v>612307</v>
      </c>
      <c r="D6" s="9">
        <v>1538737</v>
      </c>
      <c r="E6" s="9">
        <v>1278918</v>
      </c>
      <c r="F6" s="9">
        <v>2607977</v>
      </c>
      <c r="J6" t="s">
        <v>83</v>
      </c>
    </row>
    <row r="7" spans="1:29" x14ac:dyDescent="0.35">
      <c r="A7" s="2" t="s">
        <v>156</v>
      </c>
      <c r="B7" s="15" t="s">
        <v>162</v>
      </c>
      <c r="C7" s="8">
        <f>2365.96232282172/60</f>
        <v>39.432705380362002</v>
      </c>
      <c r="D7" s="8">
        <f>840.715850726927/60</f>
        <v>14.011930845448783</v>
      </c>
      <c r="E7" s="8">
        <f>904.519472710525/60</f>
        <v>15.075324545175416</v>
      </c>
      <c r="F7" s="8">
        <v>664.90801529307896</v>
      </c>
      <c r="J7" t="s">
        <v>146</v>
      </c>
    </row>
    <row r="8" spans="1:29" x14ac:dyDescent="0.35">
      <c r="A8" s="2" t="s">
        <v>159</v>
      </c>
      <c r="B8" s="15" t="s">
        <v>162</v>
      </c>
      <c r="C8" s="8">
        <f>967/60</f>
        <v>16.116666666666667</v>
      </c>
      <c r="D8" s="8">
        <f>580/60</f>
        <v>9.6666666666666661</v>
      </c>
      <c r="E8" s="8">
        <f>554/60</f>
        <v>9.2333333333333325</v>
      </c>
      <c r="F8" s="8">
        <f>497/60</f>
        <v>8.2833333333333332</v>
      </c>
      <c r="J8" t="s">
        <v>147</v>
      </c>
    </row>
    <row r="9" spans="1:29" x14ac:dyDescent="0.35">
      <c r="A9" s="2" t="s">
        <v>157</v>
      </c>
      <c r="B9" s="15" t="s">
        <v>162</v>
      </c>
      <c r="C9" s="8">
        <f>534/60</f>
        <v>8.9</v>
      </c>
      <c r="D9" s="8">
        <f>328/60</f>
        <v>5.4666666666666668</v>
      </c>
      <c r="E9" s="8">
        <f>321/60</f>
        <v>5.35</v>
      </c>
      <c r="F9" s="8">
        <f>292/60</f>
        <v>4.8666666666666663</v>
      </c>
      <c r="J9" t="s">
        <v>148</v>
      </c>
    </row>
    <row r="10" spans="1:29" x14ac:dyDescent="0.35">
      <c r="A10" s="2" t="s">
        <v>158</v>
      </c>
      <c r="B10" s="15" t="s">
        <v>162</v>
      </c>
      <c r="C10" s="8">
        <f>850/60</f>
        <v>14.166666666666666</v>
      </c>
      <c r="D10" s="8">
        <f>1020/60</f>
        <v>17</v>
      </c>
      <c r="E10" s="8">
        <f>990/60</f>
        <v>16.5</v>
      </c>
      <c r="F10" s="8">
        <f>827/60</f>
        <v>13.783333333333333</v>
      </c>
      <c r="J10" t="s">
        <v>149</v>
      </c>
    </row>
    <row r="11" spans="1:29" x14ac:dyDescent="0.35">
      <c r="J11" t="s">
        <v>88</v>
      </c>
    </row>
    <row r="13" spans="1:29" x14ac:dyDescent="0.35">
      <c r="C13" s="12"/>
      <c r="D13" s="12" t="s">
        <v>160</v>
      </c>
      <c r="E13" s="12"/>
      <c r="F13" s="12"/>
    </row>
    <row r="14" spans="1:29" x14ac:dyDescent="0.35">
      <c r="A14" t="s">
        <v>69</v>
      </c>
      <c r="B14" s="14" t="s">
        <v>163</v>
      </c>
      <c r="C14" s="4"/>
      <c r="D14" s="13">
        <v>45870</v>
      </c>
      <c r="E14" s="4"/>
      <c r="F14" s="4"/>
      <c r="J14" t="s">
        <v>69</v>
      </c>
    </row>
    <row r="15" spans="1:29" x14ac:dyDescent="0.35">
      <c r="A15" s="11" t="s">
        <v>46</v>
      </c>
      <c r="B15" s="14" t="s">
        <v>163</v>
      </c>
      <c r="C15" s="10" t="s">
        <v>10</v>
      </c>
      <c r="D15" s="10" t="s">
        <v>10</v>
      </c>
      <c r="E15" s="10" t="s">
        <v>9</v>
      </c>
      <c r="F15" s="10" t="s">
        <v>9</v>
      </c>
      <c r="J15" t="s">
        <v>70</v>
      </c>
      <c r="X15" t="s">
        <v>46</v>
      </c>
      <c r="Z15" t="s">
        <v>10</v>
      </c>
      <c r="AA15" t="s">
        <v>10</v>
      </c>
      <c r="AB15" t="s">
        <v>9</v>
      </c>
      <c r="AC15" t="s">
        <v>9</v>
      </c>
    </row>
    <row r="16" spans="1:29" x14ac:dyDescent="0.35">
      <c r="A16" s="2" t="s">
        <v>35</v>
      </c>
      <c r="B16" s="14" t="s">
        <v>163</v>
      </c>
      <c r="C16" s="4" t="s">
        <v>153</v>
      </c>
      <c r="D16" s="4" t="s">
        <v>154</v>
      </c>
      <c r="E16" s="4" t="s">
        <v>153</v>
      </c>
      <c r="F16" s="4" t="s">
        <v>154</v>
      </c>
      <c r="J16" t="s">
        <v>71</v>
      </c>
      <c r="X16" t="s">
        <v>35</v>
      </c>
      <c r="Z16" t="s">
        <v>153</v>
      </c>
      <c r="AA16" t="s">
        <v>154</v>
      </c>
      <c r="AB16" t="s">
        <v>153</v>
      </c>
      <c r="AC16" t="s">
        <v>154</v>
      </c>
    </row>
    <row r="17" spans="1:29" x14ac:dyDescent="0.35">
      <c r="A17" s="2" t="s">
        <v>155</v>
      </c>
      <c r="B17" s="14" t="s">
        <v>163</v>
      </c>
      <c r="C17" s="9">
        <v>118087</v>
      </c>
      <c r="D17" s="9">
        <v>219651</v>
      </c>
      <c r="E17" s="9">
        <v>162894</v>
      </c>
      <c r="F17" s="9">
        <v>289545</v>
      </c>
      <c r="J17" t="s">
        <v>73</v>
      </c>
      <c r="X17" t="s">
        <v>155</v>
      </c>
      <c r="Z17">
        <v>118087</v>
      </c>
      <c r="AA17">
        <v>219651</v>
      </c>
      <c r="AB17">
        <v>162894</v>
      </c>
      <c r="AC17">
        <v>289545</v>
      </c>
    </row>
    <row r="18" spans="1:29" x14ac:dyDescent="0.35">
      <c r="A18" s="2" t="s">
        <v>156</v>
      </c>
      <c r="B18" s="14" t="s">
        <v>163</v>
      </c>
      <c r="C18" s="8">
        <f>2294.4293275297/60</f>
        <v>38.240488792161663</v>
      </c>
      <c r="D18" s="8">
        <f>937.248111777319/60</f>
        <v>15.620801862955316</v>
      </c>
      <c r="E18" s="8">
        <f>897.305241445357/60</f>
        <v>14.955087357422617</v>
      </c>
      <c r="F18" s="8">
        <f>723.29609905196/60</f>
        <v>12.054934984199333</v>
      </c>
      <c r="J18" t="s">
        <v>74</v>
      </c>
      <c r="X18" t="s">
        <v>156</v>
      </c>
      <c r="Z18">
        <v>2294.4293275297</v>
      </c>
      <c r="AA18">
        <v>937.24811177731897</v>
      </c>
      <c r="AB18">
        <v>897.30524144535696</v>
      </c>
      <c r="AC18">
        <v>723.29609905196003</v>
      </c>
    </row>
    <row r="19" spans="1:29" x14ac:dyDescent="0.35">
      <c r="A19" s="2" t="s">
        <v>159</v>
      </c>
      <c r="B19" s="14" t="s">
        <v>163</v>
      </c>
      <c r="C19" s="8">
        <f>1070/60</f>
        <v>17.833333333333332</v>
      </c>
      <c r="D19" s="8">
        <f>653/60</f>
        <v>10.883333333333333</v>
      </c>
      <c r="E19" s="8">
        <f>603/60</f>
        <v>10.050000000000001</v>
      </c>
      <c r="F19" s="8">
        <f>551/60</f>
        <v>9.1833333333333336</v>
      </c>
      <c r="J19" t="s">
        <v>75</v>
      </c>
      <c r="X19" t="s">
        <v>159</v>
      </c>
      <c r="Z19">
        <v>1070</v>
      </c>
      <c r="AA19">
        <v>653</v>
      </c>
      <c r="AB19">
        <v>603</v>
      </c>
      <c r="AC19">
        <v>551</v>
      </c>
    </row>
    <row r="20" spans="1:29" x14ac:dyDescent="0.35">
      <c r="A20" s="2" t="s">
        <v>157</v>
      </c>
      <c r="B20" s="14" t="s">
        <v>163</v>
      </c>
      <c r="C20" s="8">
        <f>598/60</f>
        <v>9.9666666666666668</v>
      </c>
      <c r="D20" s="8">
        <f>365/60</f>
        <v>6.083333333333333</v>
      </c>
      <c r="E20" s="8">
        <f>349/60</f>
        <v>5.8166666666666664</v>
      </c>
      <c r="F20" s="8">
        <f>323/60</f>
        <v>5.3833333333333337</v>
      </c>
      <c r="J20" t="s">
        <v>76</v>
      </c>
      <c r="X20" t="s">
        <v>157</v>
      </c>
      <c r="Z20">
        <v>598</v>
      </c>
      <c r="AA20">
        <v>365</v>
      </c>
      <c r="AB20">
        <v>349</v>
      </c>
      <c r="AC20">
        <v>323</v>
      </c>
    </row>
    <row r="21" spans="1:29" x14ac:dyDescent="0.35">
      <c r="A21" s="2" t="s">
        <v>158</v>
      </c>
      <c r="B21" s="14" t="s">
        <v>163</v>
      </c>
      <c r="C21" s="8">
        <f>2026/60</f>
        <v>33.766666666666666</v>
      </c>
      <c r="D21" s="8">
        <f>1148/60</f>
        <v>19.133333333333333</v>
      </c>
      <c r="E21" s="8">
        <f>1067/60</f>
        <v>17.783333333333335</v>
      </c>
      <c r="F21" s="8">
        <f>908/60</f>
        <v>15.133333333333333</v>
      </c>
      <c r="J21" t="s">
        <v>77</v>
      </c>
      <c r="X21" t="s">
        <v>158</v>
      </c>
      <c r="Z21">
        <v>2026</v>
      </c>
      <c r="AA21">
        <v>1148</v>
      </c>
      <c r="AB21">
        <v>1067</v>
      </c>
      <c r="AC21">
        <v>908</v>
      </c>
    </row>
    <row r="22" spans="1:29" x14ac:dyDescent="0.35">
      <c r="J22" t="s">
        <v>78</v>
      </c>
    </row>
    <row r="24" spans="1:29" x14ac:dyDescent="0.35">
      <c r="A24" t="s">
        <v>79</v>
      </c>
      <c r="B24" s="14" t="s">
        <v>164</v>
      </c>
      <c r="C24" s="4"/>
      <c r="D24" s="13">
        <v>45901</v>
      </c>
      <c r="E24" s="4"/>
      <c r="F24" s="4"/>
      <c r="J24" t="s">
        <v>79</v>
      </c>
    </row>
    <row r="25" spans="1:29" x14ac:dyDescent="0.35">
      <c r="A25" s="11" t="s">
        <v>46</v>
      </c>
      <c r="B25" s="14" t="s">
        <v>164</v>
      </c>
      <c r="C25" s="10" t="s">
        <v>10</v>
      </c>
      <c r="D25" s="10" t="s">
        <v>10</v>
      </c>
      <c r="E25" s="10" t="s">
        <v>9</v>
      </c>
      <c r="F25" s="10" t="s">
        <v>9</v>
      </c>
      <c r="J25" t="s">
        <v>80</v>
      </c>
    </row>
    <row r="26" spans="1:29" x14ac:dyDescent="0.35">
      <c r="A26" s="2" t="s">
        <v>35</v>
      </c>
      <c r="B26" s="14" t="s">
        <v>164</v>
      </c>
      <c r="C26" s="4" t="s">
        <v>153</v>
      </c>
      <c r="D26" s="4" t="s">
        <v>154</v>
      </c>
      <c r="E26" s="4" t="s">
        <v>153</v>
      </c>
      <c r="F26" s="4" t="s">
        <v>154</v>
      </c>
      <c r="J26" t="s">
        <v>81</v>
      </c>
    </row>
    <row r="27" spans="1:29" x14ac:dyDescent="0.35">
      <c r="A27" s="2" t="s">
        <v>155</v>
      </c>
      <c r="B27" s="14" t="s">
        <v>164</v>
      </c>
      <c r="C27" s="9">
        <v>81295</v>
      </c>
      <c r="D27">
        <v>184166</v>
      </c>
      <c r="E27" s="9"/>
      <c r="F27" s="9"/>
      <c r="J27" t="s">
        <v>83</v>
      </c>
    </row>
    <row r="28" spans="1:29" x14ac:dyDescent="0.35">
      <c r="A28" s="2" t="s">
        <v>156</v>
      </c>
      <c r="B28" s="14" t="s">
        <v>164</v>
      </c>
      <c r="C28" s="8">
        <f>2308.98537425425/60</f>
        <v>38.48308957090417</v>
      </c>
      <c r="D28" s="8">
        <f>864.409635871985/60</f>
        <v>14.406827264533083</v>
      </c>
      <c r="E28" s="8"/>
      <c r="F28" s="8"/>
      <c r="J28" t="s">
        <v>84</v>
      </c>
    </row>
    <row r="29" spans="1:29" x14ac:dyDescent="0.35">
      <c r="A29" s="2" t="s">
        <v>159</v>
      </c>
      <c r="B29" s="14" t="s">
        <v>164</v>
      </c>
      <c r="C29" s="8">
        <f>984/60</f>
        <v>16.399999999999999</v>
      </c>
      <c r="D29" s="8">
        <f>598/60</f>
        <v>9.9666666666666668</v>
      </c>
      <c r="E29" s="8"/>
      <c r="F29" s="8"/>
      <c r="J29" t="s">
        <v>85</v>
      </c>
    </row>
    <row r="30" spans="1:29" x14ac:dyDescent="0.35">
      <c r="A30" s="2" t="s">
        <v>157</v>
      </c>
      <c r="B30" s="14" t="s">
        <v>164</v>
      </c>
      <c r="C30" s="8">
        <f>549/60</f>
        <v>9.15</v>
      </c>
      <c r="D30" s="8">
        <f>342/60</f>
        <v>5.7</v>
      </c>
      <c r="E30" s="8"/>
      <c r="F30" s="8"/>
      <c r="J30" t="s">
        <v>86</v>
      </c>
    </row>
    <row r="31" spans="1:29" x14ac:dyDescent="0.35">
      <c r="A31" s="2" t="s">
        <v>158</v>
      </c>
      <c r="B31" s="14" t="s">
        <v>164</v>
      </c>
      <c r="C31" s="8">
        <f xml:space="preserve"> 1888/60</f>
        <v>31.466666666666665</v>
      </c>
      <c r="D31" s="8">
        <f>1049/60</f>
        <v>17.483333333333334</v>
      </c>
      <c r="E31" s="8"/>
      <c r="F31" s="8"/>
      <c r="J31" t="s">
        <v>87</v>
      </c>
    </row>
    <row r="32" spans="1:29" x14ac:dyDescent="0.35">
      <c r="J32" t="s">
        <v>88</v>
      </c>
    </row>
    <row r="34" spans="1:10" x14ac:dyDescent="0.35">
      <c r="A34" t="s">
        <v>89</v>
      </c>
      <c r="B34" s="14" t="s">
        <v>165</v>
      </c>
      <c r="C34" s="4"/>
      <c r="D34" s="13">
        <v>45931</v>
      </c>
      <c r="E34" s="4"/>
      <c r="F34" s="4"/>
      <c r="J34" t="s">
        <v>89</v>
      </c>
    </row>
    <row r="35" spans="1:10" x14ac:dyDescent="0.35">
      <c r="A35" s="11" t="s">
        <v>46</v>
      </c>
      <c r="B35" s="14" t="s">
        <v>165</v>
      </c>
      <c r="C35" s="10" t="s">
        <v>10</v>
      </c>
      <c r="D35" s="10" t="s">
        <v>10</v>
      </c>
      <c r="E35" s="10" t="s">
        <v>9</v>
      </c>
      <c r="F35" s="10" t="s">
        <v>9</v>
      </c>
      <c r="J35" t="s">
        <v>70</v>
      </c>
    </row>
    <row r="36" spans="1:10" x14ac:dyDescent="0.35">
      <c r="A36" s="2" t="s">
        <v>35</v>
      </c>
      <c r="B36" s="14" t="s">
        <v>165</v>
      </c>
      <c r="C36" s="4" t="s">
        <v>153</v>
      </c>
      <c r="D36" s="4" t="s">
        <v>154</v>
      </c>
      <c r="E36" s="4" t="s">
        <v>153</v>
      </c>
      <c r="F36" s="4" t="s">
        <v>154</v>
      </c>
      <c r="J36" t="s">
        <v>71</v>
      </c>
    </row>
    <row r="37" spans="1:10" x14ac:dyDescent="0.35">
      <c r="A37" s="2" t="s">
        <v>155</v>
      </c>
      <c r="B37" s="14" t="s">
        <v>165</v>
      </c>
      <c r="C37" s="9"/>
      <c r="D37" s="9"/>
      <c r="E37" s="9"/>
      <c r="F37" s="9"/>
      <c r="J37" t="s">
        <v>73</v>
      </c>
    </row>
    <row r="38" spans="1:10" x14ac:dyDescent="0.35">
      <c r="A38" s="2" t="s">
        <v>156</v>
      </c>
      <c r="B38" s="14" t="s">
        <v>165</v>
      </c>
      <c r="C38" s="8"/>
      <c r="D38" s="8"/>
      <c r="E38" s="8"/>
      <c r="F38" s="8"/>
      <c r="J38" t="s">
        <v>90</v>
      </c>
    </row>
    <row r="39" spans="1:10" x14ac:dyDescent="0.35">
      <c r="A39" s="2" t="s">
        <v>159</v>
      </c>
      <c r="B39" s="14" t="s">
        <v>165</v>
      </c>
      <c r="C39" s="8"/>
      <c r="D39" s="8"/>
      <c r="E39" s="8"/>
      <c r="F39" s="8"/>
      <c r="J39" t="s">
        <v>91</v>
      </c>
    </row>
    <row r="40" spans="1:10" x14ac:dyDescent="0.35">
      <c r="A40" s="2" t="s">
        <v>157</v>
      </c>
      <c r="B40" s="14" t="s">
        <v>165</v>
      </c>
      <c r="C40" s="8"/>
      <c r="D40" s="8"/>
      <c r="E40" s="8"/>
      <c r="F40" s="8"/>
      <c r="J40" t="s">
        <v>92</v>
      </c>
    </row>
    <row r="41" spans="1:10" x14ac:dyDescent="0.35">
      <c r="A41" s="2" t="s">
        <v>158</v>
      </c>
      <c r="B41" s="14" t="s">
        <v>165</v>
      </c>
      <c r="C41" s="8"/>
      <c r="D41" s="8"/>
      <c r="E41" s="8"/>
      <c r="F41" s="8"/>
      <c r="J41" t="s">
        <v>93</v>
      </c>
    </row>
    <row r="42" spans="1:10" x14ac:dyDescent="0.35">
      <c r="J42" t="s">
        <v>78</v>
      </c>
    </row>
    <row r="44" spans="1:10" x14ac:dyDescent="0.35">
      <c r="A44" t="s">
        <v>94</v>
      </c>
      <c r="B44" s="14" t="s">
        <v>166</v>
      </c>
      <c r="C44" s="4"/>
      <c r="D44" s="13">
        <v>45962</v>
      </c>
      <c r="E44" s="4"/>
      <c r="F44" s="4"/>
      <c r="J44" t="s">
        <v>94</v>
      </c>
    </row>
    <row r="45" spans="1:10" x14ac:dyDescent="0.35">
      <c r="A45" s="11" t="s">
        <v>46</v>
      </c>
      <c r="B45" s="14" t="s">
        <v>166</v>
      </c>
      <c r="C45" s="10" t="s">
        <v>10</v>
      </c>
      <c r="D45" s="10" t="s">
        <v>10</v>
      </c>
      <c r="E45" s="10" t="s">
        <v>9</v>
      </c>
      <c r="F45" s="10" t="s">
        <v>9</v>
      </c>
      <c r="J45" t="s">
        <v>70</v>
      </c>
    </row>
    <row r="46" spans="1:10" x14ac:dyDescent="0.35">
      <c r="A46" s="2" t="s">
        <v>35</v>
      </c>
      <c r="B46" s="14" t="s">
        <v>166</v>
      </c>
      <c r="C46" s="4" t="s">
        <v>153</v>
      </c>
      <c r="D46" s="4" t="s">
        <v>154</v>
      </c>
      <c r="E46" s="4" t="s">
        <v>153</v>
      </c>
      <c r="F46" s="4" t="s">
        <v>154</v>
      </c>
      <c r="J46" t="s">
        <v>71</v>
      </c>
    </row>
    <row r="47" spans="1:10" x14ac:dyDescent="0.35">
      <c r="A47" s="2" t="s">
        <v>155</v>
      </c>
      <c r="B47" s="14" t="s">
        <v>166</v>
      </c>
      <c r="C47" s="9"/>
      <c r="D47" s="9"/>
      <c r="E47" s="9"/>
      <c r="F47" s="9"/>
      <c r="J47" t="s">
        <v>73</v>
      </c>
    </row>
    <row r="48" spans="1:10" x14ac:dyDescent="0.35">
      <c r="A48" s="2" t="s">
        <v>156</v>
      </c>
      <c r="B48" s="14" t="s">
        <v>166</v>
      </c>
      <c r="C48" s="8"/>
      <c r="D48" s="8"/>
      <c r="E48" s="8"/>
      <c r="F48" s="8"/>
      <c r="J48" t="s">
        <v>95</v>
      </c>
    </row>
    <row r="49" spans="1:10" x14ac:dyDescent="0.35">
      <c r="A49" s="2" t="s">
        <v>159</v>
      </c>
      <c r="B49" s="14" t="s">
        <v>166</v>
      </c>
      <c r="C49" s="8"/>
      <c r="D49" s="8"/>
      <c r="E49" s="8"/>
      <c r="F49" s="8"/>
      <c r="J49" t="s">
        <v>96</v>
      </c>
    </row>
    <row r="50" spans="1:10" x14ac:dyDescent="0.35">
      <c r="A50" s="2" t="s">
        <v>157</v>
      </c>
      <c r="B50" s="14" t="s">
        <v>166</v>
      </c>
      <c r="C50" s="8"/>
      <c r="D50" s="8"/>
      <c r="E50" s="8"/>
      <c r="F50" s="8"/>
      <c r="J50" t="s">
        <v>97</v>
      </c>
    </row>
    <row r="51" spans="1:10" x14ac:dyDescent="0.35">
      <c r="A51" s="2" t="s">
        <v>158</v>
      </c>
      <c r="B51" s="14" t="s">
        <v>166</v>
      </c>
      <c r="C51" s="8"/>
      <c r="D51" s="8"/>
      <c r="E51" s="8"/>
      <c r="F51" s="8"/>
      <c r="J51" t="s">
        <v>98</v>
      </c>
    </row>
    <row r="52" spans="1:10" x14ac:dyDescent="0.35">
      <c r="J52" t="s">
        <v>78</v>
      </c>
    </row>
    <row r="1048576" spans="2:2" x14ac:dyDescent="0.35">
      <c r="B1048576" s="14" t="s">
        <v>165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Rides Distribution</vt:lpstr>
      <vt:lpstr>Rides_Distr_LONG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i N k</dc:creator>
  <cp:lastModifiedBy>V i N k</cp:lastModifiedBy>
  <dcterms:created xsi:type="dcterms:W3CDTF">2026-08-21T04:22:55Z</dcterms:created>
  <dcterms:modified xsi:type="dcterms:W3CDTF">2026-08-25T16:10:25Z</dcterms:modified>
</cp:coreProperties>
</file>